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elterre.sharepoint.com/sites/RD-Ressources/Shared Documents/R&amp;D RETEX/02-Env. loads vs building code study/Building Code vs Env. Loads/Script GitHub Version/WindDatas/"/>
    </mc:Choice>
  </mc:AlternateContent>
  <xr:revisionPtr revIDLastSave="103" documentId="11_F324C982EE8222F9B7C2AB73B8C95A0EAC764261" xr6:coauthVersionLast="47" xr6:coauthVersionMax="47" xr10:uidLastSave="{8EAE50D7-348B-4579-B42D-43BB4E6A13B4}"/>
  <bookViews>
    <workbookView xWindow="28680" yWindow="-120" windowWidth="29040" windowHeight="15720" xr2:uid="{00000000-000D-0000-FFFF-FFFF00000000}"/>
  </bookViews>
  <sheets>
    <sheet name="Synthèse complète" sheetId="1" r:id="rId1"/>
    <sheet name="France" sheetId="2" r:id="rId2"/>
    <sheet name="India" sheetId="3" r:id="rId3"/>
    <sheet name="Italy" sheetId="4" r:id="rId4"/>
    <sheet name="Japan" sheetId="5" r:id="rId5"/>
    <sheet name="Luxembourg" sheetId="6" r:id="rId6"/>
    <sheet name="Netherland" sheetId="7" r:id="rId7"/>
    <sheet name="Portugal" sheetId="8" r:id="rId8"/>
    <sheet name="Sweden" sheetId="9" r:id="rId9"/>
    <sheet name="Taiwan" sheetId="10" r:id="rId10"/>
    <sheet name="UK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P24" i="1"/>
  <c r="P18" i="1"/>
  <c r="P10" i="1"/>
  <c r="P4" i="1"/>
</calcChain>
</file>

<file path=xl/sharedStrings.xml><?xml version="1.0" encoding="utf-8"?>
<sst xmlns="http://schemas.openxmlformats.org/spreadsheetml/2006/main" count="439" uniqueCount="105">
  <si>
    <t>pays</t>
  </si>
  <si>
    <t>site</t>
  </si>
  <si>
    <t>nb_sources</t>
  </si>
  <si>
    <t>ecart_min</t>
  </si>
  <si>
    <t>ecart_max</t>
  </si>
  <si>
    <t>nb_depassements</t>
  </si>
  <si>
    <t>fiabilite</t>
  </si>
  <si>
    <t>building_code</t>
  </si>
  <si>
    <t>ecart_moyen</t>
  </si>
  <si>
    <t>phrase_analyse</t>
  </si>
  <si>
    <t>écart min (%)</t>
  </si>
  <si>
    <t>écart max (%)</t>
  </si>
  <si>
    <t>écart moyen (%)</t>
  </si>
  <si>
    <t>France</t>
  </si>
  <si>
    <t>UK</t>
  </si>
  <si>
    <t>Netherland</t>
  </si>
  <si>
    <t>Portugal</t>
  </si>
  <si>
    <t>Italy</t>
  </si>
  <si>
    <t>Luxembourg</t>
  </si>
  <si>
    <t>Sweden</t>
  </si>
  <si>
    <t>Taiwan</t>
  </si>
  <si>
    <t>India</t>
  </si>
  <si>
    <t>Japan</t>
  </si>
  <si>
    <t>CARBONNE</t>
  </si>
  <si>
    <t>SALLES_SUR_GARONNE</t>
  </si>
  <si>
    <t>GROILLONS</t>
  </si>
  <si>
    <t>MADONE</t>
  </si>
  <si>
    <t>MONPEZAT</t>
  </si>
  <si>
    <t>QE2</t>
  </si>
  <si>
    <t>SHEEPLANDS FARM</t>
  </si>
  <si>
    <t>GODLEY RESERVOIR</t>
  </si>
  <si>
    <t>KEENS FARM</t>
  </si>
  <si>
    <t>WOODLANE</t>
  </si>
  <si>
    <t>PARK FARM</t>
  </si>
  <si>
    <t>POLYBELL</t>
  </si>
  <si>
    <t>REEDERS RESERVOIR</t>
  </si>
  <si>
    <t>AZALEALAAN</t>
  </si>
  <si>
    <t>ENGIE POND HQ</t>
  </si>
  <si>
    <t>BURGUM CENTRAL</t>
  </si>
  <si>
    <t>OOSTERHOF HOLFMAN</t>
  </si>
  <si>
    <t>VELDHUNTEN</t>
  </si>
  <si>
    <t>K3</t>
  </si>
  <si>
    <t>ZALTBOMMEL</t>
  </si>
  <si>
    <t>ALTO_RABAGAO</t>
  </si>
  <si>
    <t>SAO LUIS</t>
  </si>
  <si>
    <t>CUBA ESTE</t>
  </si>
  <si>
    <t>PONTECORVO</t>
  </si>
  <si>
    <t>DIFFERDANGE</t>
  </si>
  <si>
    <t>BOR</t>
  </si>
  <si>
    <t>CHANGBIN</t>
  </si>
  <si>
    <t>RUMSL</t>
  </si>
  <si>
    <t>Cial Cochin</t>
  </si>
  <si>
    <t>Thoothukudi (SPIC)</t>
  </si>
  <si>
    <t>Raw Water Pond (SGTPP)</t>
  </si>
  <si>
    <t>NTPC Kayamkulam</t>
  </si>
  <si>
    <t>TATA STEEL JEMSHEDPUR</t>
  </si>
  <si>
    <t>TATA STEEL KALINGANAGAR</t>
  </si>
  <si>
    <t>AWARPUR</t>
  </si>
  <si>
    <t>ABREL Mahan Capative Power</t>
  </si>
  <si>
    <t>YAMAKURA</t>
  </si>
  <si>
    <t>1/5</t>
  </si>
  <si>
    <t>5 sources valides ont été analysées pour le site CARBONNE (France). Les vitesses de vent moyen observées (50 ans) varient entre -11.0 et -2.0 m/s par rapport à la valeur du Building Code (22.0 m/s). 0 dépassement(s) ont été détectés, soit 0% des sources. Conclusion : aucune source n'a dépassé la valeur normative, suggérant un surdimensionnement possible.</t>
  </si>
  <si>
    <t>5 sources valides ont été analysées pour le site SALLES_SUR_GARONNE (France). Les vitesses de vent moyen observées (50 ans) varient entre -11.3 et -2.0 m/s par rapport à la valeur du Building Code (22.0 m/s). 0 dépassement(s) ont été détectés, soit 0% des sources. Conclusion : aucune source n'a dépassé la valeur normative, suggérant un surdimensionnement possible.</t>
  </si>
  <si>
    <t>5 sources valides ont été analysées pour le site GROILLONS (France). Les vitesses de vent moyen observées (50 ans) varient entre -10.2 et -4.9 m/s par rapport à la valeur du Building Code (22.1 m/s). 0 dépassement(s) ont été détectés, soit 0% des sources. Conclusion : aucune source n'a dépassé la valeur normative, suggérant un surdimensionnement possible.</t>
  </si>
  <si>
    <t>5 sources valides ont été analysées pour le site MADONE (France). Les vitesses de vent moyen observées (50 ans) varient entre -12.3 et -3.3 m/s par rapport à la valeur du Building Code (24.0 m/s). 0 dépassement(s) ont été détectés, soit 0% des sources. Conclusion : aucune source n'a dépassé la valeur normative, suggérant un surdimensionnement possible.</t>
  </si>
  <si>
    <t>5 sources valides ont été analysées pour le site MONPEZAT (France). Les vitesses de vent moyen observées (50 ans) varient entre -12.8 et -6.0 m/s par rapport à la valeur du Building Code (22.1 m/s). 0 dépassement(s) ont été détectés, soit 0% des sources. Conclusion : aucune source n'a dépassé la valeur normative, suggérant un surdimensionnement possible.</t>
  </si>
  <si>
    <t>5 sources valides ont été analysées pour le site QE2 (UK). Les vitesses de vent moyen observées (50 ans) varient entre -11.2 et -5.1 m/s par rapport à la valeur du Building Code (24.4 m/s). 0 dépassement(s) ont été détectés, soit 0% des sources. Conclusion : aucune source n'a dépassé la valeur normative, suggérant un surdimensionnement possible.</t>
  </si>
  <si>
    <t>4 sources valides ont été analysées pour le site SHEEPLANDS FARM (UK). Les vitesses de vent moyen observées (50 ans) varient entre -11.0 et -3.8 m/s par rapport à la valeur du Building Code (22.6 m/s). 0 dépassement(s) ont été détectés, soit 0% des sources. Conclusion : aucune source n'a dépassé la valeur normative, suggérant un surdimensionnement possible.</t>
  </si>
  <si>
    <t>5 sources valides ont été analysées pour le site GODLEY RESERVOIR (UK). Les vitesses de vent moyen observées (50 ans) varient entre -13.4 et -5.9 m/s par rapport à la valeur du Building Code (26.6 m/s). 0 dépassement(s) ont été détectés, soit 0% des sources. Conclusion : aucune source n'a dépassé la valeur normative, suggérant un surdimensionnement possible.</t>
  </si>
  <si>
    <t>4 sources valides ont été analysées pour le site KEENS FARM (UK). Les vitesses de vent moyen observées (50 ans) varient entre -8.7 et 0.1 m/s par rapport à la valeur du Building Code (25.1 m/s). 1 dépassement(s) ont été détectés, soit 25% des sources. Conclusion : quelques sources dépassent le seuil, ce qui reste à surveiller localement.</t>
  </si>
  <si>
    <t>4 sources valides ont été analysées pour le site WOODLANE (UK). Les vitesses de vent moyen observées (50 ans) varient entre -9.4 et -0.9 m/s par rapport à la valeur du Building Code (25.7 m/s). 0 dépassement(s) ont été détectés, soit 0% des sources. Conclusion : aucune source n'a dépassé la valeur normative, suggérant un surdimensionnement possible.</t>
  </si>
  <si>
    <t>4 sources valides ont été analysées pour le site PARK FARM (UK). Les vitesses de vent moyen observées (50 ans) varient entre -8.6 et -0.2 m/s par rapport à la valeur du Building Code (25.0 m/s). 0 dépassement(s) ont été détectés, soit 0% des sources. Conclusion : aucune source n'a dépassé la valeur normative, suggérant un surdimensionnement possible.</t>
  </si>
  <si>
    <t>5 sources valides ont été analysées pour le site POLYBELL (UK). Les vitesses de vent moyen observées (50 ans) varient entre -4.6 et 0.5 m/s par rapport à la valeur du Building Code (19.6 m/s). 1 dépassement(s) ont été détectés, soit 20% des sources. Conclusion : quelques sources dépassent le seuil, ce qui reste à surveiller localement.</t>
  </si>
  <si>
    <t>4 sources valides ont été analysées pour le site REEDERS RESERVOIR (UK). Les vitesses de vent moyen observées (50 ans) varient entre -8.2 et -3.0 m/s par rapport à la valeur du Building Code (24.6 m/s). 0 dépassement(s) ont été détectés, soit 0% des sources. Conclusion : aucune source n'a dépassé la valeur normative, suggérant un surdimensionnement possible.</t>
  </si>
  <si>
    <t>5 sources valides ont été analysées pour le site AZALEALAAN (Netherland). Les vitesses de vent moyen observées (50 ans) varient entre -9.9 et -1.4 m/s par rapport à la valeur du Building Code (20.1 m/s). 0 dépassement(s) ont été détectés, soit 0% des sources. Conclusion : aucune source n'a dépassé la valeur normative, suggérant un surdimensionnement possible.</t>
  </si>
  <si>
    <t>5 sources valides ont été analysées pour le site ENGIE POND HQ (Netherland). Les vitesses de vent moyen observées (50 ans) varient entre 0.2 et 8.8 m/s par rapport à la valeur du Building Code (19.7 m/s). 5 dépassement(s) ont été détectés, soit 100% des sources. Conclusion : plus de la moitié des sources dépassent le seuil, ce qui pourrait signaler une sous-estimation des normes.</t>
  </si>
  <si>
    <t>5 sources valides ont été analysées pour le site BURGUM CENTRAL (Netherland). Les vitesses de vent moyen observées (50 ans) varient entre -5.2 et 0.0 m/s par rapport à la valeur du Building Code (22.1 m/s). 0 dépassement(s) ont été détectés, soit 0% des sources. Conclusion : aucune source n'a dépassé la valeur normative, suggérant un surdimensionnement possible.</t>
  </si>
  <si>
    <t>5 sources valides ont été analysées pour le site OOSTERHOF HOLFMAN (Netherland). Les vitesses de vent moyen observées (50 ans) varient entre -6.4 et -1.2 m/s par rapport à la valeur du Building Code (22.1 m/s). 0 dépassement(s) ont été détectés, soit 0% des sources. Conclusion : aucune source n'a dépassé la valeur normative, suggérant un surdimensionnement possible.</t>
  </si>
  <si>
    <t>5 sources valides ont été analysées pour le site VELDHUNTEN (Netherland). Les vitesses de vent moyen observées (50 ans) varient entre -7.4 et -1.6 m/s par rapport à la valeur du Building Code (20.1 m/s). 0 dépassement(s) ont été détectés, soit 0% des sources. Conclusion : aucune source n'a dépassé la valeur normative, suggérant un surdimensionnement possible.</t>
  </si>
  <si>
    <t>5 sources valides ont été analysées pour le site K3 (Netherland). Les vitesses de vent moyen observées (50 ans) varient entre -9.9 et -1.4 m/s par rapport à la valeur du Building Code (20.1 m/s). 0 dépassement(s) ont été détectés, soit 0% des sources. Conclusion : aucune source n'a dépassé la valeur normative, suggérant un surdimensionnement possible.</t>
  </si>
  <si>
    <t>5 sources valides ont été analysées pour le site ZALTBOMMEL (Netherland). Les vitesses de vent moyen observées (50 ans) varient entre -6.2 et -0.8 m/s par rapport à la valeur du Building Code (20.1 m/s). 0 dépassement(s) ont été détectés, soit 0% des sources. Conclusion : aucune source n'a dépassé la valeur normative, suggérant un surdimensionnement possible.</t>
  </si>
  <si>
    <t>5 sources valides ont été analysées pour le site ALTO_RABAGAO (Portugal). Les vitesses de vent moyen observées (50 ans) varient entre -20.2 et -17.9 m/s par rapport à la valeur du Building Code (30.2 m/s). 0 dépassement(s) ont été détectés, soit 0% des sources. Conclusion : aucune source n'a dépassé la valeur normative, suggérant un surdimensionnement possible.</t>
  </si>
  <si>
    <t>5 sources valides ont été analysées pour le site SAO LUIS (Portugal). Les vitesses de vent moyen observées (50 ans) varient entre -10.1 et -5.1 m/s par rapport à la valeur du Building Code (19.5 m/s). 0 dépassement(s) ont été détectés, soit 0% des sources. Conclusion : aucune source n'a dépassé la valeur normative, suggérant un surdimensionnement possible.</t>
  </si>
  <si>
    <t>5 sources valides ont été analysées pour le site CUBA ESTE (Portugal). Les vitesses de vent moyen observées (50 ans) varient entre -17.7 et -12.8 m/s par rapport à la valeur du Building Code (27.2 m/s). 0 dépassement(s) ont été détectés, soit 0% des sources. Conclusion : aucune source n'a dépassé la valeur normative, suggérant un surdimensionnement possible.</t>
  </si>
  <si>
    <t>5 sources valides ont été analysées pour le site PONTECORVO (Italy). Les vitesses de vent moyen observées (50 ans) varient entre -16.9 et -6.1 m/s par rapport à la valeur du Building Code (24.9 m/s). 0 dépassement(s) ont été détectés, soit 0% des sources. Conclusion : aucune source n'a dépassé la valeur normative, suggérant un surdimensionnement possible.</t>
  </si>
  <si>
    <t>5 sources valides ont été analysées pour le site DIFFERDANGE (Luxembourg). Les vitesses de vent moyen observées (50 ans) varient entre -9.0 et -0.2 m/s par rapport à la valeur du Building Code (18.1 m/s). 0 dépassement(s) ont été détectés, soit 0% des sources. Conclusion : aucune source n'a dépassé la valeur normative, suggérant un surdimensionnement possible.</t>
  </si>
  <si>
    <t>5 sources valides ont été analysées pour le site BOR (Sweden). Les vitesses de vent moyen observées (50 ans) varient entre -9.7 et -2.5 m/s par rapport à la valeur du Building Code (18.1 m/s). 0 dépassement(s) ont été détectés, soit 0% des sources. Conclusion : aucune source n'a dépassé la valeur normative, suggérant un surdimensionnement possible.</t>
  </si>
  <si>
    <t>5 sources valides ont été analysées pour le site CHANGBIN (Taiwan). Les vitesses de vent moyen observées (50 ans) varient entre -22.4 et -13.4 m/s par rapport à la valeur du Building Code (37.5 m/s). 0 dépassement(s) ont été détectés, soit 0% des sources. Conclusion : aucune source n'a dépassé la valeur normative, suggérant un surdimensionnement possible.</t>
  </si>
  <si>
    <t>4 sources valides ont été analysées pour le site RUMSL (India). Les vitesses de vent moyen observées (50 ans) varient entre -31.4 et -25.1 m/s par rapport à la valeur du Building Code (37.7 m/s). 0 dépassement(s) ont été détectés, soit 0% des sources. Conclusion : aucune source n'a dépassé la valeur normative, suggérant un surdimensionnement possible.</t>
  </si>
  <si>
    <t>5 sources valides ont été analysées pour le site Cial Cochin (India). Les vitesses de vent moyen observées (50 ans) varient entre -26.2 et -21.1 m/s par rapport à la valeur du Building Code (31.4 m/s). 0 dépassement(s) ont été détectés, soit 0% des sources. Conclusion : aucune source n'a dépassé la valeur normative, suggérant un surdimensionnement possible.</t>
  </si>
  <si>
    <t>5 sources valides ont été analysées pour le site Thoothukudi (SPIC) (India). Les vitesses de vent moyen observées (50 ans) varient entre -17.1 et -10.2 m/s par rapport à la valeur du Building Code (25.1 m/s). 0 dépassement(s) ont été détectés, soit 0% des sources. Conclusion : aucune source n'a dépassé la valeur normative, suggérant un surdimensionnement possible.</t>
  </si>
  <si>
    <t>5 sources valides ont été analysées pour le site Raw Water Pond (SGTPP) (India). Les vitesses de vent moyen observées (50 ans) varient entre -28.4 et -24.9 m/s par rapport à la valeur du Building Code (37.8 m/s). 0 dépassement(s) ont été détectés, soit 0% des sources. Conclusion : aucune source n'a dépassé la valeur normative, suggérant un surdimensionnement possible.</t>
  </si>
  <si>
    <t>5 sources valides ont été analysées pour le site NTPC Kayamkulam (India). Les vitesses de vent moyen observées (50 ans) varient entre -31.1 et -24.0 m/s par rapport à la valeur du Building Code (37.7 m/s). 0 dépassement(s) ont été détectés, soit 0% des sources. Conclusion : aucune source n'a dépassé la valeur normative, suggérant un surdimensionnement possible.</t>
  </si>
  <si>
    <t>5 sources valides ont été analysées pour le site TATA STEEL JEMSHEDPUR (India). Les vitesses de vent moyen observées (50 ans) varient entre -26.7 et -21.8 m/s par rapport à la valeur du Building Code (36.0 m/s). 0 dépassement(s) ont été détectés, soit 0% des sources. Conclusion : aucune source n'a dépassé la valeur normative, suggérant un surdimensionnement possible.</t>
  </si>
  <si>
    <t>4 sources valides ont été analysées pour le site TATA STEEL KALINGANAGAR (India). Les vitesses de vent moyen observées (50 ans) varient entre -32.0 et -25.2 m/s par rapport à la valeur du Building Code (38.7 m/s). 0 dépassement(s) ont été détectés, soit 0% des sources. Conclusion : aucune source n'a dépassé la valeur normative, suggérant un surdimensionnement possible.</t>
  </si>
  <si>
    <t>4 sources valides ont été analysées pour le site AWARPUR (India). Les vitesses de vent moyen observées (50 ans) varient entre -31.7 et -25.4 m/s par rapport à la valeur du Building Code (38.1 m/s). 0 dépassement(s) ont été détectés, soit 0% des sources. Conclusion : aucune source n'a dépassé la valeur normative, suggérant un surdimensionnement possible.</t>
  </si>
  <si>
    <t>5 sources valides ont été analysées pour le site ABREL Mahan Capative Power (India). Les vitesses de vent moyen observées (50 ans) varient entre -27.4 et -23.3 m/s par rapport à la valeur du Building Code (35.8 m/s). 0 dépassement(s) ont été détectés, soit 0% des sources. Conclusion : aucune source n'a dépassé la valeur normative, suggérant un surdimensionnement possible.</t>
  </si>
  <si>
    <t>5 sources valides ont été analysées pour le site YAMAKURA (Japan). Les vitesses de vent moyen observées (50 ans) varient entre -24.3 et -13.7 m/s par rapport à la valeur du Building Code (38.0 m/s). 0 dépassement(s) ont été détectés, soit 0% des sources. Conclusion : aucune source n'a dépassé la valeur normative, suggérant un surdimensionnement possible.</t>
  </si>
  <si>
    <t>Pays</t>
  </si>
  <si>
    <t>Site</t>
  </si>
  <si>
    <t>Nb sources</t>
  </si>
  <si>
    <t>Écart (m/s)</t>
  </si>
  <si>
    <t>Nb dépassements</t>
  </si>
  <si>
    <t>Building Code</t>
  </si>
  <si>
    <t>Écart max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</si>
</sst>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171" fontId="0" fillId="0" borderId="13" xfId="0" applyNumberFormat="1" applyBorder="1" applyAlignment="1">
      <alignment horizontal="center" vertical="center"/>
    </xf>
    <xf numFmtId="171" fontId="0" fillId="0" borderId="4" xfId="0" applyNumberFormat="1" applyBorder="1" applyAlignment="1">
      <alignment horizontal="center" vertical="center"/>
    </xf>
    <xf numFmtId="171" fontId="0" fillId="0" borderId="7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0"/>
  <sheetViews>
    <sheetView showGridLines="0" tabSelected="1" topLeftCell="A18" zoomScale="115" zoomScaleNormal="115" workbookViewId="0">
      <selection activeCell="R35" sqref="R35"/>
    </sheetView>
  </sheetViews>
  <sheetFormatPr baseColWidth="10" defaultColWidth="9.140625" defaultRowHeight="15" x14ac:dyDescent="0.25"/>
  <cols>
    <col min="1" max="1" width="9.140625" style="3"/>
    <col min="2" max="2" width="12" style="3" bestFit="1" customWidth="1"/>
    <col min="3" max="3" width="27.5703125" style="3" bestFit="1" customWidth="1"/>
    <col min="4" max="4" width="11" style="3" bestFit="1" customWidth="1"/>
    <col min="5" max="5" width="9.85546875" style="3" hidden="1" customWidth="1"/>
    <col min="6" max="6" width="13.85546875" style="3" customWidth="1"/>
    <col min="7" max="7" width="19.140625" style="3" customWidth="1"/>
    <col min="8" max="8" width="0" style="3" hidden="1" customWidth="1"/>
    <col min="9" max="9" width="13.5703125" style="3" bestFit="1" customWidth="1"/>
    <col min="10" max="10" width="12.5703125" style="3" hidden="1" customWidth="1"/>
    <col min="11" max="11" width="255.7109375" style="3" hidden="1" customWidth="1"/>
    <col min="12" max="12" width="13.28515625" style="3" hidden="1" customWidth="1"/>
    <col min="13" max="13" width="13.28515625" style="3" bestFit="1" customWidth="1"/>
    <col min="14" max="14" width="15.5703125" style="3" hidden="1" customWidth="1"/>
    <col min="15" max="16384" width="9.140625" style="3"/>
  </cols>
  <sheetData>
    <row r="1" spans="2:19" ht="15.75" thickBot="1" x14ac:dyDescent="0.3"/>
    <row r="2" spans="2:19" ht="20.100000000000001" customHeight="1" thickBot="1" x14ac:dyDescent="0.3">
      <c r="B2" s="30" t="s">
        <v>98</v>
      </c>
      <c r="C2" s="31" t="s">
        <v>99</v>
      </c>
      <c r="D2" s="31" t="s">
        <v>100</v>
      </c>
      <c r="E2" s="31" t="s">
        <v>3</v>
      </c>
      <c r="F2" s="31" t="s">
        <v>101</v>
      </c>
      <c r="G2" s="31" t="s">
        <v>102</v>
      </c>
      <c r="H2" s="31" t="s">
        <v>6</v>
      </c>
      <c r="I2" s="31" t="s">
        <v>103</v>
      </c>
      <c r="J2" s="31" t="s">
        <v>8</v>
      </c>
      <c r="K2" s="31" t="s">
        <v>9</v>
      </c>
      <c r="L2" s="31" t="s">
        <v>10</v>
      </c>
      <c r="M2" s="32" t="s">
        <v>104</v>
      </c>
      <c r="N2" s="2" t="s">
        <v>12</v>
      </c>
    </row>
    <row r="3" spans="2:19" ht="20.100000000000001" customHeight="1" x14ac:dyDescent="0.25">
      <c r="B3" s="22" t="s">
        <v>13</v>
      </c>
      <c r="C3" s="14" t="s">
        <v>23</v>
      </c>
      <c r="D3" s="14">
        <v>5</v>
      </c>
      <c r="E3" s="14">
        <v>-11.04</v>
      </c>
      <c r="F3" s="14">
        <v>-2.0300000000000011</v>
      </c>
      <c r="G3" s="14">
        <v>0</v>
      </c>
      <c r="H3" s="14" t="s">
        <v>60</v>
      </c>
      <c r="I3" s="33">
        <v>22</v>
      </c>
      <c r="J3" s="14">
        <v>-6.5350000000000001</v>
      </c>
      <c r="K3" s="14" t="s">
        <v>61</v>
      </c>
      <c r="L3" s="15">
        <v>-50.181818181818173</v>
      </c>
      <c r="M3" s="16">
        <v>-9.2272727272727284</v>
      </c>
      <c r="N3" s="4">
        <v>-29.70454545454545</v>
      </c>
    </row>
    <row r="4" spans="2:19" ht="20.100000000000001" customHeight="1" x14ac:dyDescent="0.25">
      <c r="B4" s="23" t="s">
        <v>13</v>
      </c>
      <c r="C4" s="6" t="s">
        <v>24</v>
      </c>
      <c r="D4" s="6">
        <v>5</v>
      </c>
      <c r="E4" s="6">
        <v>-11.29</v>
      </c>
      <c r="F4" s="6">
        <v>-2.0300000000000011</v>
      </c>
      <c r="G4" s="6">
        <v>0</v>
      </c>
      <c r="H4" s="6" t="s">
        <v>60</v>
      </c>
      <c r="I4" s="34">
        <v>22</v>
      </c>
      <c r="J4" s="6">
        <v>-6.66</v>
      </c>
      <c r="K4" s="6" t="s">
        <v>62</v>
      </c>
      <c r="L4" s="7">
        <v>-51.31818181818182</v>
      </c>
      <c r="M4" s="8">
        <v>-9.2272727272727284</v>
      </c>
      <c r="N4" s="4">
        <v>-30.27272727272727</v>
      </c>
      <c r="P4" s="4">
        <f>AVERAGE(M3:M7)</f>
        <v>-16.325258225596826</v>
      </c>
    </row>
    <row r="5" spans="2:19" ht="20.100000000000001" customHeight="1" x14ac:dyDescent="0.25">
      <c r="B5" s="23" t="s">
        <v>13</v>
      </c>
      <c r="C5" s="6" t="s">
        <v>25</v>
      </c>
      <c r="D5" s="6">
        <v>5</v>
      </c>
      <c r="E5" s="6">
        <v>-10.17</v>
      </c>
      <c r="F5" s="6">
        <v>-4.879999999999999</v>
      </c>
      <c r="G5" s="6">
        <v>0</v>
      </c>
      <c r="H5" s="6" t="s">
        <v>60</v>
      </c>
      <c r="I5" s="34">
        <v>22.15</v>
      </c>
      <c r="J5" s="6">
        <v>-7.5249999999999986</v>
      </c>
      <c r="K5" s="6" t="s">
        <v>63</v>
      </c>
      <c r="L5" s="7">
        <v>-45.914221218961607</v>
      </c>
      <c r="M5" s="8">
        <v>-22.031602708803611</v>
      </c>
      <c r="N5" s="4">
        <v>-33.972911963882609</v>
      </c>
    </row>
    <row r="6" spans="2:19" ht="20.100000000000001" customHeight="1" x14ac:dyDescent="0.25">
      <c r="B6" s="23" t="s">
        <v>13</v>
      </c>
      <c r="C6" s="6" t="s">
        <v>26</v>
      </c>
      <c r="D6" s="6">
        <v>5</v>
      </c>
      <c r="E6" s="6">
        <v>-12.28</v>
      </c>
      <c r="F6" s="6">
        <v>-3.34</v>
      </c>
      <c r="G6" s="6">
        <v>0</v>
      </c>
      <c r="H6" s="6" t="s">
        <v>60</v>
      </c>
      <c r="I6" s="34">
        <v>24</v>
      </c>
      <c r="J6" s="6">
        <v>-7.81</v>
      </c>
      <c r="K6" s="6" t="s">
        <v>64</v>
      </c>
      <c r="L6" s="7">
        <v>-51.166666666666671</v>
      </c>
      <c r="M6" s="8">
        <v>-13.91666666666667</v>
      </c>
      <c r="N6" s="4">
        <v>-32.541666666666657</v>
      </c>
    </row>
    <row r="7" spans="2:19" ht="20.100000000000001" customHeight="1" thickBot="1" x14ac:dyDescent="0.3">
      <c r="B7" s="24" t="s">
        <v>13</v>
      </c>
      <c r="C7" s="11" t="s">
        <v>27</v>
      </c>
      <c r="D7" s="11">
        <v>5</v>
      </c>
      <c r="E7" s="11">
        <v>-12.84</v>
      </c>
      <c r="F7" s="11">
        <v>-6.0299999999999976</v>
      </c>
      <c r="G7" s="11">
        <v>0</v>
      </c>
      <c r="H7" s="11" t="s">
        <v>60</v>
      </c>
      <c r="I7" s="35">
        <v>22.15</v>
      </c>
      <c r="J7" s="11">
        <v>-9.4349999999999987</v>
      </c>
      <c r="K7" s="11" t="s">
        <v>65</v>
      </c>
      <c r="L7" s="12">
        <v>-57.968397291196382</v>
      </c>
      <c r="M7" s="13">
        <v>-27.223476297968389</v>
      </c>
      <c r="N7" s="4">
        <v>-42.595936794582393</v>
      </c>
    </row>
    <row r="8" spans="2:19" ht="20.100000000000001" customHeight="1" x14ac:dyDescent="0.25">
      <c r="B8" s="25" t="s">
        <v>14</v>
      </c>
      <c r="C8" s="14" t="s">
        <v>28</v>
      </c>
      <c r="D8" s="14">
        <v>5</v>
      </c>
      <c r="E8" s="14">
        <v>-11.22</v>
      </c>
      <c r="F8" s="14">
        <v>-5.1499999999999986</v>
      </c>
      <c r="G8" s="14">
        <v>0</v>
      </c>
      <c r="H8" s="14" t="s">
        <v>60</v>
      </c>
      <c r="I8" s="33">
        <v>24.4</v>
      </c>
      <c r="J8" s="14">
        <v>-8.1849999999999987</v>
      </c>
      <c r="K8" s="14" t="s">
        <v>66</v>
      </c>
      <c r="L8" s="15">
        <v>-45.983606557377037</v>
      </c>
      <c r="M8" s="16">
        <v>-21.106557377049171</v>
      </c>
      <c r="N8" s="4">
        <v>-33.545081967213108</v>
      </c>
    </row>
    <row r="9" spans="2:19" ht="20.100000000000001" customHeight="1" x14ac:dyDescent="0.25">
      <c r="B9" s="26" t="s">
        <v>14</v>
      </c>
      <c r="C9" s="6" t="s">
        <v>29</v>
      </c>
      <c r="D9" s="6">
        <v>4</v>
      </c>
      <c r="E9" s="6">
        <v>-11</v>
      </c>
      <c r="F9" s="6">
        <v>-3.8099999999999992</v>
      </c>
      <c r="G9" s="6">
        <v>0</v>
      </c>
      <c r="H9" s="6" t="s">
        <v>60</v>
      </c>
      <c r="I9" s="34">
        <v>22.65</v>
      </c>
      <c r="J9" s="6">
        <v>-7.4049999999999976</v>
      </c>
      <c r="K9" s="6" t="s">
        <v>67</v>
      </c>
      <c r="L9" s="7">
        <v>-48.565121412803528</v>
      </c>
      <c r="M9" s="8">
        <v>-16.82119205298013</v>
      </c>
      <c r="N9" s="4">
        <v>-32.693156732891829</v>
      </c>
    </row>
    <row r="10" spans="2:19" ht="20.100000000000001" customHeight="1" x14ac:dyDescent="0.25">
      <c r="B10" s="26" t="s">
        <v>14</v>
      </c>
      <c r="C10" s="6" t="s">
        <v>30</v>
      </c>
      <c r="D10" s="6">
        <v>5</v>
      </c>
      <c r="E10" s="6">
        <v>-13.43</v>
      </c>
      <c r="F10" s="6">
        <v>-5.9400000000000013</v>
      </c>
      <c r="G10" s="6">
        <v>0</v>
      </c>
      <c r="H10" s="6" t="s">
        <v>60</v>
      </c>
      <c r="I10" s="34">
        <v>26.59</v>
      </c>
      <c r="J10" s="6">
        <v>-9.6850000000000005</v>
      </c>
      <c r="K10" s="6" t="s">
        <v>68</v>
      </c>
      <c r="L10" s="7">
        <v>-50.507709665287713</v>
      </c>
      <c r="M10" s="8">
        <v>-22.339225272658901</v>
      </c>
      <c r="N10" s="4">
        <v>-36.423467468973293</v>
      </c>
      <c r="P10" s="4">
        <f>AVERAGE(M8:M15)</f>
        <v>-9.2448198553830068</v>
      </c>
    </row>
    <row r="11" spans="2:19" ht="20.100000000000001" customHeight="1" x14ac:dyDescent="0.25">
      <c r="B11" s="26" t="s">
        <v>14</v>
      </c>
      <c r="C11" s="6" t="s">
        <v>31</v>
      </c>
      <c r="D11" s="6">
        <v>4</v>
      </c>
      <c r="E11" s="6">
        <v>-8.6999999999999993</v>
      </c>
      <c r="F11" s="6">
        <v>0.14999999999999861</v>
      </c>
      <c r="G11" s="37">
        <v>1</v>
      </c>
      <c r="H11" s="6" t="s">
        <v>60</v>
      </c>
      <c r="I11" s="34">
        <v>25.07</v>
      </c>
      <c r="J11" s="6">
        <v>-4.2750000000000004</v>
      </c>
      <c r="K11" s="6" t="s">
        <v>69</v>
      </c>
      <c r="L11" s="7">
        <v>-34.702832070203428</v>
      </c>
      <c r="M11" s="9">
        <v>0.59832469086558149</v>
      </c>
      <c r="N11" s="4">
        <v>-17.05225368966892</v>
      </c>
    </row>
    <row r="12" spans="2:19" ht="20.100000000000001" customHeight="1" x14ac:dyDescent="0.25">
      <c r="B12" s="26" t="s">
        <v>14</v>
      </c>
      <c r="C12" s="6" t="s">
        <v>32</v>
      </c>
      <c r="D12" s="6">
        <v>4</v>
      </c>
      <c r="E12" s="6">
        <v>-9.36</v>
      </c>
      <c r="F12" s="6">
        <v>-0.94999999999999929</v>
      </c>
      <c r="G12" s="6">
        <v>0</v>
      </c>
      <c r="H12" s="6" t="s">
        <v>60</v>
      </c>
      <c r="I12" s="34">
        <v>25.73</v>
      </c>
      <c r="J12" s="6">
        <v>-5.1549999999999994</v>
      </c>
      <c r="K12" s="6" t="s">
        <v>70</v>
      </c>
      <c r="L12" s="7">
        <v>-36.377769141080449</v>
      </c>
      <c r="M12" s="9">
        <v>-3.6921881072677798</v>
      </c>
      <c r="N12" s="4">
        <v>-20.034978624174109</v>
      </c>
    </row>
    <row r="13" spans="2:19" ht="20.100000000000001" customHeight="1" x14ac:dyDescent="0.25">
      <c r="B13" s="26" t="s">
        <v>14</v>
      </c>
      <c r="C13" s="6" t="s">
        <v>33</v>
      </c>
      <c r="D13" s="6">
        <v>4</v>
      </c>
      <c r="E13" s="6">
        <v>-8.64</v>
      </c>
      <c r="F13" s="6">
        <v>-0.2300000000000004</v>
      </c>
      <c r="G13" s="6">
        <v>0</v>
      </c>
      <c r="H13" s="6" t="s">
        <v>60</v>
      </c>
      <c r="I13" s="34">
        <v>25.01</v>
      </c>
      <c r="J13" s="6">
        <v>-4.4349999999999996</v>
      </c>
      <c r="K13" s="6" t="s">
        <v>71</v>
      </c>
      <c r="L13" s="7">
        <v>-34.546181527389038</v>
      </c>
      <c r="M13" s="9">
        <v>-0.91963214714114727</v>
      </c>
      <c r="N13" s="4">
        <v>-17.73290683726508</v>
      </c>
    </row>
    <row r="14" spans="2:19" ht="20.100000000000001" customHeight="1" x14ac:dyDescent="0.25">
      <c r="B14" s="26" t="s">
        <v>14</v>
      </c>
      <c r="C14" s="6" t="s">
        <v>34</v>
      </c>
      <c r="D14" s="6">
        <v>5</v>
      </c>
      <c r="E14" s="6">
        <v>-4.6199999999999992</v>
      </c>
      <c r="F14" s="6">
        <v>0.51999999999999957</v>
      </c>
      <c r="G14" s="37">
        <v>1</v>
      </c>
      <c r="H14" s="6" t="s">
        <v>60</v>
      </c>
      <c r="I14" s="34">
        <v>19.63</v>
      </c>
      <c r="J14" s="6">
        <v>-2.0499999999999998</v>
      </c>
      <c r="K14" s="6" t="s">
        <v>72</v>
      </c>
      <c r="L14" s="7">
        <v>-23.535404992358629</v>
      </c>
      <c r="M14" s="9">
        <v>2.6490066225165481</v>
      </c>
      <c r="N14" s="4">
        <v>-10.443199184921051</v>
      </c>
      <c r="S14" s="5"/>
    </row>
    <row r="15" spans="2:19" ht="20.100000000000001" customHeight="1" thickBot="1" x14ac:dyDescent="0.3">
      <c r="B15" s="27" t="s">
        <v>14</v>
      </c>
      <c r="C15" s="11" t="s">
        <v>35</v>
      </c>
      <c r="D15" s="11">
        <v>4</v>
      </c>
      <c r="E15" s="11">
        <v>-8.2099999999999973</v>
      </c>
      <c r="F15" s="11">
        <v>-3.029999999999998</v>
      </c>
      <c r="G15" s="11">
        <v>0</v>
      </c>
      <c r="H15" s="11" t="s">
        <v>60</v>
      </c>
      <c r="I15" s="35">
        <v>24.58</v>
      </c>
      <c r="J15" s="11">
        <v>-5.6199999999999974</v>
      </c>
      <c r="K15" s="11" t="s">
        <v>73</v>
      </c>
      <c r="L15" s="12">
        <v>-33.401139137510157</v>
      </c>
      <c r="M15" s="13">
        <v>-12.32709519934906</v>
      </c>
      <c r="N15" s="4">
        <v>-22.864117168429608</v>
      </c>
    </row>
    <row r="16" spans="2:19" ht="20.100000000000001" customHeight="1" x14ac:dyDescent="0.25">
      <c r="B16" s="22" t="s">
        <v>15</v>
      </c>
      <c r="C16" s="14" t="s">
        <v>36</v>
      </c>
      <c r="D16" s="14">
        <v>5</v>
      </c>
      <c r="E16" s="14">
        <v>-9.94</v>
      </c>
      <c r="F16" s="14">
        <v>-1.390000000000001</v>
      </c>
      <c r="G16" s="14">
        <v>0</v>
      </c>
      <c r="H16" s="14" t="s">
        <v>60</v>
      </c>
      <c r="I16" s="33">
        <v>20.07</v>
      </c>
      <c r="J16" s="14">
        <v>-5.665</v>
      </c>
      <c r="K16" s="14" t="s">
        <v>74</v>
      </c>
      <c r="L16" s="15">
        <v>-49.526656701544589</v>
      </c>
      <c r="M16" s="16">
        <v>-6.9257598405580536</v>
      </c>
      <c r="N16" s="4">
        <v>-28.226208271051309</v>
      </c>
    </row>
    <row r="17" spans="2:16" ht="20.100000000000001" customHeight="1" x14ac:dyDescent="0.25">
      <c r="B17" s="23" t="s">
        <v>15</v>
      </c>
      <c r="C17" s="6" t="s">
        <v>37</v>
      </c>
      <c r="D17" s="6">
        <v>5</v>
      </c>
      <c r="E17" s="6">
        <v>0.19999999999999929</v>
      </c>
      <c r="F17" s="6">
        <v>8.7800000000000011</v>
      </c>
      <c r="G17" s="37">
        <v>5</v>
      </c>
      <c r="H17" s="6" t="s">
        <v>60</v>
      </c>
      <c r="I17" s="34">
        <v>19.73</v>
      </c>
      <c r="J17" s="6">
        <v>4.49</v>
      </c>
      <c r="K17" s="6" t="s">
        <v>75</v>
      </c>
      <c r="L17" s="7">
        <v>1.013684744044596</v>
      </c>
      <c r="M17" s="10">
        <v>44.50076026355805</v>
      </c>
      <c r="N17" s="4">
        <v>22.757222503801302</v>
      </c>
    </row>
    <row r="18" spans="2:16" ht="20.100000000000001" customHeight="1" x14ac:dyDescent="0.25">
      <c r="B18" s="23" t="s">
        <v>15</v>
      </c>
      <c r="C18" s="6" t="s">
        <v>38</v>
      </c>
      <c r="D18" s="6">
        <v>5</v>
      </c>
      <c r="E18" s="6">
        <v>-5.2399999999999984</v>
      </c>
      <c r="F18" s="6">
        <v>0</v>
      </c>
      <c r="G18" s="6">
        <v>0</v>
      </c>
      <c r="H18" s="6" t="s">
        <v>60</v>
      </c>
      <c r="I18" s="34">
        <v>22.11</v>
      </c>
      <c r="J18" s="6">
        <v>-2.6199999999999992</v>
      </c>
      <c r="K18" s="6" t="s">
        <v>76</v>
      </c>
      <c r="L18" s="7">
        <v>-23.699683401175928</v>
      </c>
      <c r="M18" s="9">
        <v>0</v>
      </c>
      <c r="N18" s="4">
        <v>-11.849841700587961</v>
      </c>
      <c r="P18" s="4">
        <f>AVERAGE(M16:M22)</f>
        <v>1.9219705300380869</v>
      </c>
    </row>
    <row r="19" spans="2:16" ht="20.100000000000001" customHeight="1" x14ac:dyDescent="0.25">
      <c r="B19" s="23" t="s">
        <v>15</v>
      </c>
      <c r="C19" s="6" t="s">
        <v>39</v>
      </c>
      <c r="D19" s="6">
        <v>5</v>
      </c>
      <c r="E19" s="6">
        <v>-6.42</v>
      </c>
      <c r="F19" s="6">
        <v>-1.18</v>
      </c>
      <c r="G19" s="6">
        <v>0</v>
      </c>
      <c r="H19" s="6" t="s">
        <v>60</v>
      </c>
      <c r="I19" s="34">
        <v>22.11</v>
      </c>
      <c r="J19" s="6">
        <v>-3.8</v>
      </c>
      <c r="K19" s="6" t="s">
        <v>77</v>
      </c>
      <c r="L19" s="7">
        <v>-29.036635006784259</v>
      </c>
      <c r="M19" s="9">
        <v>-5.3369516056083199</v>
      </c>
      <c r="N19" s="4">
        <v>-17.186793306196289</v>
      </c>
    </row>
    <row r="20" spans="2:16" ht="20.100000000000001" customHeight="1" x14ac:dyDescent="0.25">
      <c r="B20" s="23" t="s">
        <v>15</v>
      </c>
      <c r="C20" s="6" t="s">
        <v>40</v>
      </c>
      <c r="D20" s="6">
        <v>5</v>
      </c>
      <c r="E20" s="6">
        <v>-7.3599999999999994</v>
      </c>
      <c r="F20" s="6">
        <v>-1.609999999999999</v>
      </c>
      <c r="G20" s="6">
        <v>0</v>
      </c>
      <c r="H20" s="6" t="s">
        <v>60</v>
      </c>
      <c r="I20" s="34">
        <v>20.07</v>
      </c>
      <c r="J20" s="6">
        <v>-4.4849999999999994</v>
      </c>
      <c r="K20" s="6" t="s">
        <v>78</v>
      </c>
      <c r="L20" s="7">
        <v>-36.671649227703043</v>
      </c>
      <c r="M20" s="8">
        <v>-8.0219232685600375</v>
      </c>
      <c r="N20" s="4">
        <v>-22.346786248131529</v>
      </c>
    </row>
    <row r="21" spans="2:16" ht="20.100000000000001" customHeight="1" x14ac:dyDescent="0.25">
      <c r="B21" s="23" t="s">
        <v>15</v>
      </c>
      <c r="C21" s="6" t="s">
        <v>41</v>
      </c>
      <c r="D21" s="6">
        <v>5</v>
      </c>
      <c r="E21" s="6">
        <v>-9.94</v>
      </c>
      <c r="F21" s="6">
        <v>-1.390000000000001</v>
      </c>
      <c r="G21" s="6">
        <v>0</v>
      </c>
      <c r="H21" s="6" t="s">
        <v>60</v>
      </c>
      <c r="I21" s="34">
        <v>20.07</v>
      </c>
      <c r="J21" s="6">
        <v>-5.665</v>
      </c>
      <c r="K21" s="6" t="s">
        <v>79</v>
      </c>
      <c r="L21" s="7">
        <v>-49.526656701544589</v>
      </c>
      <c r="M21" s="8">
        <v>-6.9257598405580536</v>
      </c>
      <c r="N21" s="4">
        <v>-28.226208271051309</v>
      </c>
    </row>
    <row r="22" spans="2:16" ht="20.100000000000001" customHeight="1" thickBot="1" x14ac:dyDescent="0.3">
      <c r="B22" s="24" t="s">
        <v>15</v>
      </c>
      <c r="C22" s="11" t="s">
        <v>42</v>
      </c>
      <c r="D22" s="11">
        <v>5</v>
      </c>
      <c r="E22" s="11">
        <v>-6.17</v>
      </c>
      <c r="F22" s="11">
        <v>-0.76999999999999957</v>
      </c>
      <c r="G22" s="11">
        <v>0</v>
      </c>
      <c r="H22" s="11" t="s">
        <v>60</v>
      </c>
      <c r="I22" s="35">
        <v>20.07</v>
      </c>
      <c r="J22" s="11">
        <v>-3.47</v>
      </c>
      <c r="K22" s="11" t="s">
        <v>80</v>
      </c>
      <c r="L22" s="12">
        <v>-30.74240159441953</v>
      </c>
      <c r="M22" s="17">
        <v>-3.8365719980069768</v>
      </c>
      <c r="N22" s="4">
        <v>-17.28948679621325</v>
      </c>
    </row>
    <row r="23" spans="2:16" ht="20.100000000000001" customHeight="1" x14ac:dyDescent="0.25">
      <c r="B23" s="25" t="s">
        <v>16</v>
      </c>
      <c r="C23" s="14" t="s">
        <v>43</v>
      </c>
      <c r="D23" s="14">
        <v>5</v>
      </c>
      <c r="E23" s="14">
        <v>-20.21</v>
      </c>
      <c r="F23" s="14">
        <v>-17.940000000000001</v>
      </c>
      <c r="G23" s="14">
        <v>0</v>
      </c>
      <c r="H23" s="14" t="s">
        <v>60</v>
      </c>
      <c r="I23" s="33">
        <v>30.2</v>
      </c>
      <c r="J23" s="14">
        <v>-19.074999999999999</v>
      </c>
      <c r="K23" s="14" t="s">
        <v>81</v>
      </c>
      <c r="L23" s="15">
        <v>-66.920529801324506</v>
      </c>
      <c r="M23" s="16">
        <v>-59.403973509933763</v>
      </c>
      <c r="N23" s="4">
        <v>-63.162251655629142</v>
      </c>
    </row>
    <row r="24" spans="2:16" x14ac:dyDescent="0.25">
      <c r="B24" s="26" t="s">
        <v>16</v>
      </c>
      <c r="C24" s="6" t="s">
        <v>44</v>
      </c>
      <c r="D24" s="6">
        <v>5</v>
      </c>
      <c r="E24" s="6">
        <v>-10.050000000000001</v>
      </c>
      <c r="F24" s="6">
        <v>-5.1300000000000008</v>
      </c>
      <c r="G24" s="6">
        <v>0</v>
      </c>
      <c r="H24" s="6" t="s">
        <v>60</v>
      </c>
      <c r="I24" s="34">
        <v>19.5</v>
      </c>
      <c r="J24" s="6">
        <v>-7.5900000000000007</v>
      </c>
      <c r="K24" s="6" t="s">
        <v>82</v>
      </c>
      <c r="L24" s="7">
        <v>-51.538461538461547</v>
      </c>
      <c r="M24" s="8">
        <v>-26.30769230769231</v>
      </c>
      <c r="N24" s="4">
        <v>-38.923076923076927</v>
      </c>
      <c r="P24" s="4">
        <f>AVERAGE(M23:M25)</f>
        <v>-44.280636214411039</v>
      </c>
    </row>
    <row r="25" spans="2:16" ht="15.75" thickBot="1" x14ac:dyDescent="0.3">
      <c r="B25" s="27" t="s">
        <v>16</v>
      </c>
      <c r="C25" s="11" t="s">
        <v>45</v>
      </c>
      <c r="D25" s="11">
        <v>5</v>
      </c>
      <c r="E25" s="11">
        <v>-17.68</v>
      </c>
      <c r="F25" s="11">
        <v>-12.81</v>
      </c>
      <c r="G25" s="11">
        <v>0</v>
      </c>
      <c r="H25" s="11" t="s">
        <v>60</v>
      </c>
      <c r="I25" s="35">
        <v>27.18</v>
      </c>
      <c r="J25" s="11">
        <v>-15.244999999999999</v>
      </c>
      <c r="K25" s="11" t="s">
        <v>83</v>
      </c>
      <c r="L25" s="12">
        <v>-65.047829286239889</v>
      </c>
      <c r="M25" s="13">
        <v>-47.13024282560707</v>
      </c>
      <c r="N25" s="4">
        <v>-56.089036055923479</v>
      </c>
    </row>
    <row r="26" spans="2:16" customFormat="1" ht="15.75" thickBot="1" x14ac:dyDescent="0.3"/>
    <row r="27" spans="2:16" ht="20.100000000000001" customHeight="1" thickBot="1" x14ac:dyDescent="0.3">
      <c r="B27" s="29" t="s">
        <v>17</v>
      </c>
      <c r="C27" s="18" t="s">
        <v>46</v>
      </c>
      <c r="D27" s="18">
        <v>5</v>
      </c>
      <c r="E27" s="18">
        <v>-16.89</v>
      </c>
      <c r="F27" s="18">
        <v>-6.1099999999999994</v>
      </c>
      <c r="G27" s="18">
        <v>0</v>
      </c>
      <c r="H27" s="18" t="s">
        <v>60</v>
      </c>
      <c r="I27" s="36">
        <v>24.87</v>
      </c>
      <c r="J27" s="18">
        <v>-11.5</v>
      </c>
      <c r="K27" s="18" t="s">
        <v>84</v>
      </c>
      <c r="L27" s="19">
        <v>-67.913148371531975</v>
      </c>
      <c r="M27" s="20">
        <v>-24.56775231202252</v>
      </c>
      <c r="N27" s="4">
        <v>-46.24045034177724</v>
      </c>
    </row>
    <row r="28" spans="2:16" ht="20.100000000000001" customHeight="1" thickBot="1" x14ac:dyDescent="0.3">
      <c r="B28" s="28" t="s">
        <v>18</v>
      </c>
      <c r="C28" s="18" t="s">
        <v>47</v>
      </c>
      <c r="D28" s="18">
        <v>5</v>
      </c>
      <c r="E28" s="18">
        <v>-8.9599999999999991</v>
      </c>
      <c r="F28" s="18">
        <v>-0.19999999999999929</v>
      </c>
      <c r="G28" s="18">
        <v>0</v>
      </c>
      <c r="H28" s="18" t="s">
        <v>60</v>
      </c>
      <c r="I28" s="36">
        <v>18.13</v>
      </c>
      <c r="J28" s="18">
        <v>-4.5799999999999992</v>
      </c>
      <c r="K28" s="18" t="s">
        <v>85</v>
      </c>
      <c r="L28" s="19">
        <v>-49.420849420849422</v>
      </c>
      <c r="M28" s="21">
        <v>-1.1031439602868121</v>
      </c>
      <c r="N28" s="4">
        <v>-25.261996690568111</v>
      </c>
    </row>
    <row r="29" spans="2:16" ht="20.100000000000001" customHeight="1" thickBot="1" x14ac:dyDescent="0.3">
      <c r="B29" s="29" t="s">
        <v>19</v>
      </c>
      <c r="C29" s="18" t="s">
        <v>48</v>
      </c>
      <c r="D29" s="18">
        <v>5</v>
      </c>
      <c r="E29" s="18">
        <v>-9.6599999999999984</v>
      </c>
      <c r="F29" s="18">
        <v>-2.489999999999998</v>
      </c>
      <c r="G29" s="18">
        <v>0</v>
      </c>
      <c r="H29" s="18" t="s">
        <v>60</v>
      </c>
      <c r="I29" s="36">
        <v>18.13</v>
      </c>
      <c r="J29" s="18">
        <v>-6.0749999999999984</v>
      </c>
      <c r="K29" s="18" t="s">
        <v>86</v>
      </c>
      <c r="L29" s="19">
        <v>-53.281853281853273</v>
      </c>
      <c r="M29" s="20">
        <v>-13.73414230557087</v>
      </c>
      <c r="N29" s="4">
        <v>-33.507997793712072</v>
      </c>
    </row>
    <row r="30" spans="2:16" ht="20.100000000000001" customHeight="1" thickBot="1" x14ac:dyDescent="0.3">
      <c r="B30" s="28" t="s">
        <v>20</v>
      </c>
      <c r="C30" s="18" t="s">
        <v>49</v>
      </c>
      <c r="D30" s="18">
        <v>5</v>
      </c>
      <c r="E30" s="18">
        <v>-22.35</v>
      </c>
      <c r="F30" s="18">
        <v>-13.45</v>
      </c>
      <c r="G30" s="18">
        <v>0</v>
      </c>
      <c r="H30" s="18" t="s">
        <v>60</v>
      </c>
      <c r="I30" s="36">
        <v>37.5</v>
      </c>
      <c r="J30" s="18">
        <v>-17.899999999999999</v>
      </c>
      <c r="K30" s="18" t="s">
        <v>87</v>
      </c>
      <c r="L30" s="19">
        <v>-59.600000000000009</v>
      </c>
      <c r="M30" s="20">
        <v>-35.866666666666667</v>
      </c>
      <c r="N30" s="4">
        <v>-47.733333333333327</v>
      </c>
    </row>
    <row r="31" spans="2:16" ht="20.100000000000001" customHeight="1" x14ac:dyDescent="0.25">
      <c r="B31" s="22" t="s">
        <v>21</v>
      </c>
      <c r="C31" s="14" t="s">
        <v>50</v>
      </c>
      <c r="D31" s="14">
        <v>4</v>
      </c>
      <c r="E31" s="14">
        <v>-31.37</v>
      </c>
      <c r="F31" s="14">
        <v>-25.06</v>
      </c>
      <c r="G31" s="14">
        <v>0</v>
      </c>
      <c r="H31" s="14" t="s">
        <v>60</v>
      </c>
      <c r="I31" s="33">
        <v>37.74</v>
      </c>
      <c r="J31" s="14">
        <v>-28.215</v>
      </c>
      <c r="K31" s="14" t="s">
        <v>88</v>
      </c>
      <c r="L31" s="15">
        <v>-83.121356650768405</v>
      </c>
      <c r="M31" s="16">
        <v>-66.40169581346052</v>
      </c>
      <c r="N31" s="4">
        <v>-74.761526232114477</v>
      </c>
    </row>
    <row r="32" spans="2:16" ht="20.100000000000001" customHeight="1" x14ac:dyDescent="0.25">
      <c r="B32" s="23" t="s">
        <v>21</v>
      </c>
      <c r="C32" s="6" t="s">
        <v>51</v>
      </c>
      <c r="D32" s="6">
        <v>5</v>
      </c>
      <c r="E32" s="6">
        <v>-26.21</v>
      </c>
      <c r="F32" s="6">
        <v>-21.13</v>
      </c>
      <c r="G32" s="6">
        <v>0</v>
      </c>
      <c r="H32" s="6" t="s">
        <v>60</v>
      </c>
      <c r="I32" s="34">
        <v>31.4</v>
      </c>
      <c r="J32" s="6">
        <v>-23.67</v>
      </c>
      <c r="K32" s="6" t="s">
        <v>89</v>
      </c>
      <c r="L32" s="7">
        <v>-83.471337579617838</v>
      </c>
      <c r="M32" s="8">
        <v>-67.29299363057325</v>
      </c>
      <c r="N32" s="4">
        <v>-75.382165605095537</v>
      </c>
    </row>
    <row r="33" spans="2:16" ht="20.100000000000001" customHeight="1" x14ac:dyDescent="0.25">
      <c r="B33" s="23" t="s">
        <v>21</v>
      </c>
      <c r="C33" s="6" t="s">
        <v>52</v>
      </c>
      <c r="D33" s="6">
        <v>5</v>
      </c>
      <c r="E33" s="6">
        <v>-17.13</v>
      </c>
      <c r="F33" s="6">
        <v>-10.19</v>
      </c>
      <c r="G33" s="6">
        <v>0</v>
      </c>
      <c r="H33" s="6" t="s">
        <v>60</v>
      </c>
      <c r="I33" s="34">
        <v>25.12</v>
      </c>
      <c r="J33" s="6">
        <v>-13.66</v>
      </c>
      <c r="K33" s="6" t="s">
        <v>90</v>
      </c>
      <c r="L33" s="7">
        <v>-68.192675159235677</v>
      </c>
      <c r="M33" s="8">
        <v>-40.565286624203821</v>
      </c>
      <c r="N33" s="4">
        <v>-54.378980891719749</v>
      </c>
    </row>
    <row r="34" spans="2:16" ht="20.100000000000001" customHeight="1" x14ac:dyDescent="0.25">
      <c r="B34" s="23" t="s">
        <v>21</v>
      </c>
      <c r="C34" s="6" t="s">
        <v>53</v>
      </c>
      <c r="D34" s="6">
        <v>5</v>
      </c>
      <c r="E34" s="6">
        <v>-28.41</v>
      </c>
      <c r="F34" s="6">
        <v>-24.88</v>
      </c>
      <c r="G34" s="6">
        <v>0</v>
      </c>
      <c r="H34" s="6" t="s">
        <v>60</v>
      </c>
      <c r="I34" s="34">
        <v>37.840000000000003</v>
      </c>
      <c r="J34" s="6">
        <v>-26.645</v>
      </c>
      <c r="K34" s="6" t="s">
        <v>91</v>
      </c>
      <c r="L34" s="7">
        <v>-75.079281183932352</v>
      </c>
      <c r="M34" s="8">
        <v>-65.750528541226217</v>
      </c>
      <c r="N34" s="4">
        <v>-70.414904862579291</v>
      </c>
      <c r="P34" s="4">
        <f>AVERAGE(M31:M39)</f>
        <v>-62.293979479500777</v>
      </c>
    </row>
    <row r="35" spans="2:16" ht="20.100000000000001" customHeight="1" x14ac:dyDescent="0.25">
      <c r="B35" s="23" t="s">
        <v>21</v>
      </c>
      <c r="C35" s="6" t="s">
        <v>54</v>
      </c>
      <c r="D35" s="6">
        <v>5</v>
      </c>
      <c r="E35" s="6">
        <v>-31.11</v>
      </c>
      <c r="F35" s="6">
        <v>-23.95</v>
      </c>
      <c r="G35" s="6">
        <v>0</v>
      </c>
      <c r="H35" s="6" t="s">
        <v>60</v>
      </c>
      <c r="I35" s="34">
        <v>37.74</v>
      </c>
      <c r="J35" s="6">
        <v>-27.53</v>
      </c>
      <c r="K35" s="6" t="s">
        <v>92</v>
      </c>
      <c r="L35" s="7">
        <v>-82.432432432432435</v>
      </c>
      <c r="M35" s="8">
        <v>-63.460519342872288</v>
      </c>
      <c r="N35" s="4">
        <v>-72.946475887652355</v>
      </c>
    </row>
    <row r="36" spans="2:16" ht="20.100000000000001" customHeight="1" x14ac:dyDescent="0.25">
      <c r="B36" s="23" t="s">
        <v>21</v>
      </c>
      <c r="C36" s="6" t="s">
        <v>55</v>
      </c>
      <c r="D36" s="6">
        <v>5</v>
      </c>
      <c r="E36" s="6">
        <v>-26.69</v>
      </c>
      <c r="F36" s="6">
        <v>-21.77</v>
      </c>
      <c r="G36" s="6">
        <v>0</v>
      </c>
      <c r="H36" s="6" t="s">
        <v>60</v>
      </c>
      <c r="I36" s="34">
        <v>35.950000000000003</v>
      </c>
      <c r="J36" s="6">
        <v>-24.23</v>
      </c>
      <c r="K36" s="6" t="s">
        <v>93</v>
      </c>
      <c r="L36" s="7">
        <v>-74.242002781641176</v>
      </c>
      <c r="M36" s="8">
        <v>-60.556328233657872</v>
      </c>
      <c r="N36" s="4">
        <v>-67.399165507649514</v>
      </c>
    </row>
    <row r="37" spans="2:16" ht="20.100000000000001" customHeight="1" x14ac:dyDescent="0.25">
      <c r="B37" s="23" t="s">
        <v>21</v>
      </c>
      <c r="C37" s="6" t="s">
        <v>56</v>
      </c>
      <c r="D37" s="6">
        <v>4</v>
      </c>
      <c r="E37" s="6">
        <v>-32.03</v>
      </c>
      <c r="F37" s="6">
        <v>-25.17</v>
      </c>
      <c r="G37" s="6">
        <v>0</v>
      </c>
      <c r="H37" s="6" t="s">
        <v>60</v>
      </c>
      <c r="I37" s="34">
        <v>38.74</v>
      </c>
      <c r="J37" s="6">
        <v>-28.6</v>
      </c>
      <c r="K37" s="6" t="s">
        <v>94</v>
      </c>
      <c r="L37" s="7">
        <v>-82.67940113577697</v>
      </c>
      <c r="M37" s="8">
        <v>-64.971605575632424</v>
      </c>
      <c r="N37" s="4">
        <v>-73.825503355704697</v>
      </c>
    </row>
    <row r="38" spans="2:16" ht="20.100000000000001" customHeight="1" x14ac:dyDescent="0.25">
      <c r="B38" s="23" t="s">
        <v>21</v>
      </c>
      <c r="C38" s="6" t="s">
        <v>57</v>
      </c>
      <c r="D38" s="6">
        <v>4</v>
      </c>
      <c r="E38" s="6">
        <v>-31.7</v>
      </c>
      <c r="F38" s="6">
        <v>-25.39</v>
      </c>
      <c r="G38" s="6">
        <v>0</v>
      </c>
      <c r="H38" s="6" t="s">
        <v>60</v>
      </c>
      <c r="I38" s="34">
        <v>38.07</v>
      </c>
      <c r="J38" s="6">
        <v>-28.545000000000002</v>
      </c>
      <c r="K38" s="6" t="s">
        <v>95</v>
      </c>
      <c r="L38" s="7">
        <v>-83.267664827948522</v>
      </c>
      <c r="M38" s="8">
        <v>-66.692934068820591</v>
      </c>
      <c r="N38" s="4">
        <v>-74.980299448384557</v>
      </c>
    </row>
    <row r="39" spans="2:16" ht="20.100000000000001" customHeight="1" thickBot="1" x14ac:dyDescent="0.3">
      <c r="B39" s="24" t="s">
        <v>21</v>
      </c>
      <c r="C39" s="11" t="s">
        <v>58</v>
      </c>
      <c r="D39" s="11">
        <v>5</v>
      </c>
      <c r="E39" s="11">
        <v>-27.38</v>
      </c>
      <c r="F39" s="11">
        <v>-23.26</v>
      </c>
      <c r="G39" s="11">
        <v>0</v>
      </c>
      <c r="H39" s="11" t="s">
        <v>60</v>
      </c>
      <c r="I39" s="35">
        <v>35.81</v>
      </c>
      <c r="J39" s="11">
        <v>-25.32</v>
      </c>
      <c r="K39" s="11" t="s">
        <v>96</v>
      </c>
      <c r="L39" s="12">
        <v>-76.459089639765438</v>
      </c>
      <c r="M39" s="13">
        <v>-64.953923485060045</v>
      </c>
      <c r="N39" s="4">
        <v>-70.706506562412727</v>
      </c>
    </row>
    <row r="40" spans="2:16" ht="20.100000000000001" customHeight="1" thickBot="1" x14ac:dyDescent="0.3">
      <c r="B40" s="27" t="s">
        <v>22</v>
      </c>
      <c r="C40" s="11" t="s">
        <v>59</v>
      </c>
      <c r="D40" s="11">
        <v>5</v>
      </c>
      <c r="E40" s="11">
        <v>-24.28</v>
      </c>
      <c r="F40" s="11">
        <v>-13.69</v>
      </c>
      <c r="G40" s="11">
        <v>0</v>
      </c>
      <c r="H40" s="11" t="s">
        <v>60</v>
      </c>
      <c r="I40" s="35">
        <v>38</v>
      </c>
      <c r="J40" s="11">
        <v>-18.984999999999999</v>
      </c>
      <c r="K40" s="11" t="s">
        <v>97</v>
      </c>
      <c r="L40" s="12">
        <v>-63.894736842105267</v>
      </c>
      <c r="M40" s="13">
        <v>-36.026315789473678</v>
      </c>
      <c r="N40" s="4">
        <v>-49.96052631578948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23</v>
      </c>
      <c r="C2">
        <v>5</v>
      </c>
      <c r="D2">
        <v>-11.04</v>
      </c>
      <c r="E2">
        <v>-2.0300000000000011</v>
      </c>
      <c r="F2">
        <v>0</v>
      </c>
      <c r="G2" t="s">
        <v>60</v>
      </c>
      <c r="H2">
        <v>22</v>
      </c>
      <c r="I2">
        <v>-6.5350000000000001</v>
      </c>
      <c r="J2" t="s">
        <v>61</v>
      </c>
      <c r="K2">
        <v>-50.181818181818173</v>
      </c>
      <c r="L2">
        <v>-9.2272727272727284</v>
      </c>
      <c r="M2">
        <v>-29.70454545454545</v>
      </c>
    </row>
    <row r="3" spans="1:13" x14ac:dyDescent="0.25">
      <c r="A3" t="s">
        <v>13</v>
      </c>
      <c r="B3" t="s">
        <v>24</v>
      </c>
      <c r="C3">
        <v>5</v>
      </c>
      <c r="D3">
        <v>-11.29</v>
      </c>
      <c r="E3">
        <v>-2.0300000000000011</v>
      </c>
      <c r="F3">
        <v>0</v>
      </c>
      <c r="G3" t="s">
        <v>60</v>
      </c>
      <c r="H3">
        <v>22</v>
      </c>
      <c r="I3">
        <v>-6.66</v>
      </c>
      <c r="J3" t="s">
        <v>62</v>
      </c>
      <c r="K3">
        <v>-51.31818181818182</v>
      </c>
      <c r="L3">
        <v>-9.2272727272727284</v>
      </c>
      <c r="M3">
        <v>-30.27272727272727</v>
      </c>
    </row>
    <row r="4" spans="1:13" x14ac:dyDescent="0.25">
      <c r="A4" t="s">
        <v>13</v>
      </c>
      <c r="B4" t="s">
        <v>25</v>
      </c>
      <c r="C4">
        <v>5</v>
      </c>
      <c r="D4">
        <v>-10.17</v>
      </c>
      <c r="E4">
        <v>-4.879999999999999</v>
      </c>
      <c r="F4">
        <v>0</v>
      </c>
      <c r="G4" t="s">
        <v>60</v>
      </c>
      <c r="H4">
        <v>22.15</v>
      </c>
      <c r="I4">
        <v>-7.5249999999999986</v>
      </c>
      <c r="J4" t="s">
        <v>63</v>
      </c>
      <c r="K4">
        <v>-45.914221218961607</v>
      </c>
      <c r="L4">
        <v>-22.031602708803611</v>
      </c>
      <c r="M4">
        <v>-33.972911963882609</v>
      </c>
    </row>
    <row r="5" spans="1:13" x14ac:dyDescent="0.25">
      <c r="A5" t="s">
        <v>13</v>
      </c>
      <c r="B5" t="s">
        <v>26</v>
      </c>
      <c r="C5">
        <v>5</v>
      </c>
      <c r="D5">
        <v>-12.28</v>
      </c>
      <c r="E5">
        <v>-3.34</v>
      </c>
      <c r="F5">
        <v>0</v>
      </c>
      <c r="G5" t="s">
        <v>60</v>
      </c>
      <c r="H5">
        <v>24</v>
      </c>
      <c r="I5">
        <v>-7.81</v>
      </c>
      <c r="J5" t="s">
        <v>64</v>
      </c>
      <c r="K5">
        <v>-51.166666666666671</v>
      </c>
      <c r="L5">
        <v>-13.91666666666667</v>
      </c>
      <c r="M5">
        <v>-32.541666666666657</v>
      </c>
    </row>
    <row r="6" spans="1:13" x14ac:dyDescent="0.25">
      <c r="A6" t="s">
        <v>13</v>
      </c>
      <c r="B6" t="s">
        <v>27</v>
      </c>
      <c r="C6">
        <v>5</v>
      </c>
      <c r="D6">
        <v>-12.84</v>
      </c>
      <c r="E6">
        <v>-6.0299999999999976</v>
      </c>
      <c r="F6">
        <v>0</v>
      </c>
      <c r="G6" t="s">
        <v>60</v>
      </c>
      <c r="H6">
        <v>22.15</v>
      </c>
      <c r="I6">
        <v>-9.4349999999999987</v>
      </c>
      <c r="J6" t="s">
        <v>65</v>
      </c>
      <c r="K6">
        <v>-57.968397291196382</v>
      </c>
      <c r="L6">
        <v>-27.223476297968389</v>
      </c>
      <c r="M6">
        <v>-42.595936794582393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21</v>
      </c>
      <c r="B2" t="s">
        <v>50</v>
      </c>
      <c r="C2">
        <v>4</v>
      </c>
      <c r="D2">
        <v>-31.37</v>
      </c>
      <c r="E2">
        <v>-25.06</v>
      </c>
      <c r="F2">
        <v>0</v>
      </c>
      <c r="G2" t="s">
        <v>60</v>
      </c>
      <c r="H2">
        <v>37.74</v>
      </c>
      <c r="I2">
        <v>-28.215</v>
      </c>
      <c r="J2" t="s">
        <v>88</v>
      </c>
      <c r="K2">
        <v>-83.121356650768405</v>
      </c>
      <c r="L2">
        <v>-66.40169581346052</v>
      </c>
      <c r="M2">
        <v>-74.761526232114477</v>
      </c>
    </row>
    <row r="3" spans="1:13" x14ac:dyDescent="0.25">
      <c r="A3" t="s">
        <v>21</v>
      </c>
      <c r="B3" t="s">
        <v>51</v>
      </c>
      <c r="C3">
        <v>5</v>
      </c>
      <c r="D3">
        <v>-26.21</v>
      </c>
      <c r="E3">
        <v>-21.13</v>
      </c>
      <c r="F3">
        <v>0</v>
      </c>
      <c r="G3" t="s">
        <v>60</v>
      </c>
      <c r="H3">
        <v>31.4</v>
      </c>
      <c r="I3">
        <v>-23.67</v>
      </c>
      <c r="J3" t="s">
        <v>89</v>
      </c>
      <c r="K3">
        <v>-83.471337579617838</v>
      </c>
      <c r="L3">
        <v>-67.29299363057325</v>
      </c>
      <c r="M3">
        <v>-75.382165605095537</v>
      </c>
    </row>
    <row r="4" spans="1:13" x14ac:dyDescent="0.25">
      <c r="A4" t="s">
        <v>21</v>
      </c>
      <c r="B4" t="s">
        <v>52</v>
      </c>
      <c r="C4">
        <v>5</v>
      </c>
      <c r="D4">
        <v>-17.13</v>
      </c>
      <c r="E4">
        <v>-10.19</v>
      </c>
      <c r="F4">
        <v>0</v>
      </c>
      <c r="G4" t="s">
        <v>60</v>
      </c>
      <c r="H4">
        <v>25.12</v>
      </c>
      <c r="I4">
        <v>-13.66</v>
      </c>
      <c r="J4" t="s">
        <v>90</v>
      </c>
      <c r="K4">
        <v>-68.192675159235677</v>
      </c>
      <c r="L4">
        <v>-40.565286624203821</v>
      </c>
      <c r="M4">
        <v>-54.378980891719749</v>
      </c>
    </row>
    <row r="5" spans="1:13" x14ac:dyDescent="0.25">
      <c r="A5" t="s">
        <v>21</v>
      </c>
      <c r="B5" t="s">
        <v>53</v>
      </c>
      <c r="C5">
        <v>5</v>
      </c>
      <c r="D5">
        <v>-28.41</v>
      </c>
      <c r="E5">
        <v>-24.88</v>
      </c>
      <c r="F5">
        <v>0</v>
      </c>
      <c r="G5" t="s">
        <v>60</v>
      </c>
      <c r="H5">
        <v>37.840000000000003</v>
      </c>
      <c r="I5">
        <v>-26.645</v>
      </c>
      <c r="J5" t="s">
        <v>91</v>
      </c>
      <c r="K5">
        <v>-75.079281183932352</v>
      </c>
      <c r="L5">
        <v>-65.750528541226217</v>
      </c>
      <c r="M5">
        <v>-70.414904862579291</v>
      </c>
    </row>
    <row r="6" spans="1:13" x14ac:dyDescent="0.25">
      <c r="A6" t="s">
        <v>21</v>
      </c>
      <c r="B6" t="s">
        <v>54</v>
      </c>
      <c r="C6">
        <v>5</v>
      </c>
      <c r="D6">
        <v>-31.11</v>
      </c>
      <c r="E6">
        <v>-23.95</v>
      </c>
      <c r="F6">
        <v>0</v>
      </c>
      <c r="G6" t="s">
        <v>60</v>
      </c>
      <c r="H6">
        <v>37.74</v>
      </c>
      <c r="I6">
        <v>-27.53</v>
      </c>
      <c r="J6" t="s">
        <v>92</v>
      </c>
      <c r="K6">
        <v>-82.432432432432435</v>
      </c>
      <c r="L6">
        <v>-63.460519342872288</v>
      </c>
      <c r="M6">
        <v>-72.946475887652355</v>
      </c>
    </row>
    <row r="7" spans="1:13" x14ac:dyDescent="0.25">
      <c r="A7" t="s">
        <v>21</v>
      </c>
      <c r="B7" t="s">
        <v>55</v>
      </c>
      <c r="C7">
        <v>5</v>
      </c>
      <c r="D7">
        <v>-26.69</v>
      </c>
      <c r="E7">
        <v>-21.77</v>
      </c>
      <c r="F7">
        <v>0</v>
      </c>
      <c r="G7" t="s">
        <v>60</v>
      </c>
      <c r="H7">
        <v>35.950000000000003</v>
      </c>
      <c r="I7">
        <v>-24.23</v>
      </c>
      <c r="J7" t="s">
        <v>93</v>
      </c>
      <c r="K7">
        <v>-74.242002781641176</v>
      </c>
      <c r="L7">
        <v>-60.556328233657872</v>
      </c>
      <c r="M7">
        <v>-67.399165507649514</v>
      </c>
    </row>
    <row r="8" spans="1:13" x14ac:dyDescent="0.25">
      <c r="A8" t="s">
        <v>21</v>
      </c>
      <c r="B8" t="s">
        <v>56</v>
      </c>
      <c r="C8">
        <v>4</v>
      </c>
      <c r="D8">
        <v>-32.03</v>
      </c>
      <c r="E8">
        <v>-25.17</v>
      </c>
      <c r="F8">
        <v>0</v>
      </c>
      <c r="G8" t="s">
        <v>60</v>
      </c>
      <c r="H8">
        <v>38.74</v>
      </c>
      <c r="I8">
        <v>-28.6</v>
      </c>
      <c r="J8" t="s">
        <v>94</v>
      </c>
      <c r="K8">
        <v>-82.67940113577697</v>
      </c>
      <c r="L8">
        <v>-64.971605575632424</v>
      </c>
      <c r="M8">
        <v>-73.825503355704697</v>
      </c>
    </row>
    <row r="9" spans="1:13" x14ac:dyDescent="0.25">
      <c r="A9" t="s">
        <v>21</v>
      </c>
      <c r="B9" t="s">
        <v>57</v>
      </c>
      <c r="C9">
        <v>4</v>
      </c>
      <c r="D9">
        <v>-31.7</v>
      </c>
      <c r="E9">
        <v>-25.39</v>
      </c>
      <c r="F9">
        <v>0</v>
      </c>
      <c r="G9" t="s">
        <v>60</v>
      </c>
      <c r="H9">
        <v>38.07</v>
      </c>
      <c r="I9">
        <v>-28.545000000000002</v>
      </c>
      <c r="J9" t="s">
        <v>95</v>
      </c>
      <c r="K9">
        <v>-83.267664827948522</v>
      </c>
      <c r="L9">
        <v>-66.692934068820591</v>
      </c>
      <c r="M9">
        <v>-74.980299448384557</v>
      </c>
    </row>
    <row r="10" spans="1:13" x14ac:dyDescent="0.25">
      <c r="A10" t="s">
        <v>21</v>
      </c>
      <c r="B10" t="s">
        <v>58</v>
      </c>
      <c r="C10">
        <v>5</v>
      </c>
      <c r="D10">
        <v>-27.38</v>
      </c>
      <c r="E10">
        <v>-23.26</v>
      </c>
      <c r="F10">
        <v>0</v>
      </c>
      <c r="G10" t="s">
        <v>60</v>
      </c>
      <c r="H10">
        <v>35.81</v>
      </c>
      <c r="I10">
        <v>-25.32</v>
      </c>
      <c r="J10" t="s">
        <v>96</v>
      </c>
      <c r="K10">
        <v>-76.459089639765438</v>
      </c>
      <c r="L10">
        <v>-64.953923485060045</v>
      </c>
      <c r="M10">
        <v>-70.706506562412727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46</v>
      </c>
      <c r="C2">
        <v>5</v>
      </c>
      <c r="D2">
        <v>-16.89</v>
      </c>
      <c r="E2">
        <v>-6.1099999999999994</v>
      </c>
      <c r="F2">
        <v>0</v>
      </c>
      <c r="G2" t="s">
        <v>60</v>
      </c>
      <c r="H2">
        <v>24.87</v>
      </c>
      <c r="I2">
        <v>-11.5</v>
      </c>
      <c r="J2" t="s">
        <v>84</v>
      </c>
      <c r="K2">
        <v>-67.913148371531975</v>
      </c>
      <c r="L2">
        <v>-24.56775231202252</v>
      </c>
      <c r="M2">
        <v>-46.24045034177724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22</v>
      </c>
      <c r="B2" t="s">
        <v>59</v>
      </c>
      <c r="C2">
        <v>5</v>
      </c>
      <c r="D2">
        <v>-24.28</v>
      </c>
      <c r="E2">
        <v>-13.69</v>
      </c>
      <c r="F2">
        <v>0</v>
      </c>
      <c r="G2" t="s">
        <v>60</v>
      </c>
      <c r="H2">
        <v>38</v>
      </c>
      <c r="I2">
        <v>-18.984999999999999</v>
      </c>
      <c r="J2" t="s">
        <v>97</v>
      </c>
      <c r="K2">
        <v>-63.894736842105267</v>
      </c>
      <c r="L2">
        <v>-36.026315789473678</v>
      </c>
      <c r="M2">
        <v>-49.96052631578948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18</v>
      </c>
      <c r="B2" t="s">
        <v>47</v>
      </c>
      <c r="C2">
        <v>5</v>
      </c>
      <c r="D2">
        <v>-8.9599999999999991</v>
      </c>
      <c r="E2">
        <v>-0.19999999999999929</v>
      </c>
      <c r="F2">
        <v>0</v>
      </c>
      <c r="G2" t="s">
        <v>60</v>
      </c>
      <c r="H2">
        <v>18.13</v>
      </c>
      <c r="I2">
        <v>-4.5799999999999992</v>
      </c>
      <c r="J2" t="s">
        <v>85</v>
      </c>
      <c r="K2">
        <v>-49.420849420849422</v>
      </c>
      <c r="L2">
        <v>-1.1031439602868121</v>
      </c>
      <c r="M2">
        <v>-25.261996690568111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36</v>
      </c>
      <c r="C2">
        <v>5</v>
      </c>
      <c r="D2">
        <v>-9.94</v>
      </c>
      <c r="E2">
        <v>-1.390000000000001</v>
      </c>
      <c r="F2">
        <v>0</v>
      </c>
      <c r="G2" t="s">
        <v>60</v>
      </c>
      <c r="H2">
        <v>20.07</v>
      </c>
      <c r="I2">
        <v>-5.665</v>
      </c>
      <c r="J2" t="s">
        <v>74</v>
      </c>
      <c r="K2">
        <v>-49.526656701544589</v>
      </c>
      <c r="L2">
        <v>-6.9257598405580536</v>
      </c>
      <c r="M2">
        <v>-28.226208271051309</v>
      </c>
    </row>
    <row r="3" spans="1:13" x14ac:dyDescent="0.25">
      <c r="A3" t="s">
        <v>15</v>
      </c>
      <c r="B3" t="s">
        <v>37</v>
      </c>
      <c r="C3">
        <v>5</v>
      </c>
      <c r="D3">
        <v>0.19999999999999929</v>
      </c>
      <c r="E3">
        <v>8.7800000000000011</v>
      </c>
      <c r="F3">
        <v>5</v>
      </c>
      <c r="G3" t="s">
        <v>60</v>
      </c>
      <c r="H3">
        <v>19.73</v>
      </c>
      <c r="I3">
        <v>4.49</v>
      </c>
      <c r="J3" t="s">
        <v>75</v>
      </c>
      <c r="K3">
        <v>1.013684744044596</v>
      </c>
      <c r="L3">
        <v>44.50076026355805</v>
      </c>
      <c r="M3">
        <v>22.757222503801302</v>
      </c>
    </row>
    <row r="4" spans="1:13" x14ac:dyDescent="0.25">
      <c r="A4" t="s">
        <v>15</v>
      </c>
      <c r="B4" t="s">
        <v>38</v>
      </c>
      <c r="C4">
        <v>5</v>
      </c>
      <c r="D4">
        <v>-5.2399999999999984</v>
      </c>
      <c r="E4">
        <v>0</v>
      </c>
      <c r="F4">
        <v>0</v>
      </c>
      <c r="G4" t="s">
        <v>60</v>
      </c>
      <c r="H4">
        <v>22.11</v>
      </c>
      <c r="I4">
        <v>-2.6199999999999992</v>
      </c>
      <c r="J4" t="s">
        <v>76</v>
      </c>
      <c r="K4">
        <v>-23.699683401175928</v>
      </c>
      <c r="L4">
        <v>0</v>
      </c>
      <c r="M4">
        <v>-11.849841700587961</v>
      </c>
    </row>
    <row r="5" spans="1:13" x14ac:dyDescent="0.25">
      <c r="A5" t="s">
        <v>15</v>
      </c>
      <c r="B5" t="s">
        <v>39</v>
      </c>
      <c r="C5">
        <v>5</v>
      </c>
      <c r="D5">
        <v>-6.42</v>
      </c>
      <c r="E5">
        <v>-1.18</v>
      </c>
      <c r="F5">
        <v>0</v>
      </c>
      <c r="G5" t="s">
        <v>60</v>
      </c>
      <c r="H5">
        <v>22.11</v>
      </c>
      <c r="I5">
        <v>-3.8</v>
      </c>
      <c r="J5" t="s">
        <v>77</v>
      </c>
      <c r="K5">
        <v>-29.036635006784259</v>
      </c>
      <c r="L5">
        <v>-5.3369516056083199</v>
      </c>
      <c r="M5">
        <v>-17.186793306196289</v>
      </c>
    </row>
    <row r="6" spans="1:13" x14ac:dyDescent="0.25">
      <c r="A6" t="s">
        <v>15</v>
      </c>
      <c r="B6" t="s">
        <v>40</v>
      </c>
      <c r="C6">
        <v>5</v>
      </c>
      <c r="D6">
        <v>-7.3599999999999994</v>
      </c>
      <c r="E6">
        <v>-1.609999999999999</v>
      </c>
      <c r="F6">
        <v>0</v>
      </c>
      <c r="G6" t="s">
        <v>60</v>
      </c>
      <c r="H6">
        <v>20.07</v>
      </c>
      <c r="I6">
        <v>-4.4849999999999994</v>
      </c>
      <c r="J6" t="s">
        <v>78</v>
      </c>
      <c r="K6">
        <v>-36.671649227703043</v>
      </c>
      <c r="L6">
        <v>-8.0219232685600375</v>
      </c>
      <c r="M6">
        <v>-22.346786248131529</v>
      </c>
    </row>
    <row r="7" spans="1:13" x14ac:dyDescent="0.25">
      <c r="A7" t="s">
        <v>15</v>
      </c>
      <c r="B7" t="s">
        <v>41</v>
      </c>
      <c r="C7">
        <v>5</v>
      </c>
      <c r="D7">
        <v>-9.94</v>
      </c>
      <c r="E7">
        <v>-1.390000000000001</v>
      </c>
      <c r="F7">
        <v>0</v>
      </c>
      <c r="G7" t="s">
        <v>60</v>
      </c>
      <c r="H7">
        <v>20.07</v>
      </c>
      <c r="I7">
        <v>-5.665</v>
      </c>
      <c r="J7" t="s">
        <v>79</v>
      </c>
      <c r="K7">
        <v>-49.526656701544589</v>
      </c>
      <c r="L7">
        <v>-6.9257598405580536</v>
      </c>
      <c r="M7">
        <v>-28.226208271051309</v>
      </c>
    </row>
    <row r="8" spans="1:13" x14ac:dyDescent="0.25">
      <c r="A8" t="s">
        <v>15</v>
      </c>
      <c r="B8" t="s">
        <v>42</v>
      </c>
      <c r="C8">
        <v>5</v>
      </c>
      <c r="D8">
        <v>-6.17</v>
      </c>
      <c r="E8">
        <v>-0.76999999999999957</v>
      </c>
      <c r="F8">
        <v>0</v>
      </c>
      <c r="G8" t="s">
        <v>60</v>
      </c>
      <c r="H8">
        <v>20.07</v>
      </c>
      <c r="I8">
        <v>-3.47</v>
      </c>
      <c r="J8" t="s">
        <v>80</v>
      </c>
      <c r="K8">
        <v>-30.74240159441953</v>
      </c>
      <c r="L8">
        <v>-3.8365719980069768</v>
      </c>
      <c r="M8">
        <v>-17.28948679621325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16</v>
      </c>
      <c r="B2" t="s">
        <v>43</v>
      </c>
      <c r="C2">
        <v>5</v>
      </c>
      <c r="D2">
        <v>-20.21</v>
      </c>
      <c r="E2">
        <v>-17.940000000000001</v>
      </c>
      <c r="F2">
        <v>0</v>
      </c>
      <c r="G2" t="s">
        <v>60</v>
      </c>
      <c r="H2">
        <v>30.2</v>
      </c>
      <c r="I2">
        <v>-19.074999999999999</v>
      </c>
      <c r="J2" t="s">
        <v>81</v>
      </c>
      <c r="K2">
        <v>-66.920529801324506</v>
      </c>
      <c r="L2">
        <v>-59.403973509933763</v>
      </c>
      <c r="M2">
        <v>-63.162251655629142</v>
      </c>
    </row>
    <row r="3" spans="1:13" x14ac:dyDescent="0.25">
      <c r="A3" t="s">
        <v>16</v>
      </c>
      <c r="B3" t="s">
        <v>44</v>
      </c>
      <c r="C3">
        <v>5</v>
      </c>
      <c r="D3">
        <v>-10.050000000000001</v>
      </c>
      <c r="E3">
        <v>-5.1300000000000008</v>
      </c>
      <c r="F3">
        <v>0</v>
      </c>
      <c r="G3" t="s">
        <v>60</v>
      </c>
      <c r="H3">
        <v>19.5</v>
      </c>
      <c r="I3">
        <v>-7.5900000000000007</v>
      </c>
      <c r="J3" t="s">
        <v>82</v>
      </c>
      <c r="K3">
        <v>-51.538461538461547</v>
      </c>
      <c r="L3">
        <v>-26.30769230769231</v>
      </c>
      <c r="M3">
        <v>-38.923076923076927</v>
      </c>
    </row>
    <row r="4" spans="1:13" x14ac:dyDescent="0.25">
      <c r="A4" t="s">
        <v>16</v>
      </c>
      <c r="B4" t="s">
        <v>45</v>
      </c>
      <c r="C4">
        <v>5</v>
      </c>
      <c r="D4">
        <v>-17.68</v>
      </c>
      <c r="E4">
        <v>-12.81</v>
      </c>
      <c r="F4">
        <v>0</v>
      </c>
      <c r="G4" t="s">
        <v>60</v>
      </c>
      <c r="H4">
        <v>27.18</v>
      </c>
      <c r="I4">
        <v>-15.244999999999999</v>
      </c>
      <c r="J4" t="s">
        <v>83</v>
      </c>
      <c r="K4">
        <v>-65.047829286239889</v>
      </c>
      <c r="L4">
        <v>-47.13024282560707</v>
      </c>
      <c r="M4">
        <v>-56.089036055923479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19</v>
      </c>
      <c r="B2" t="s">
        <v>48</v>
      </c>
      <c r="C2">
        <v>5</v>
      </c>
      <c r="D2">
        <v>-9.6599999999999984</v>
      </c>
      <c r="E2">
        <v>-2.489999999999998</v>
      </c>
      <c r="F2">
        <v>0</v>
      </c>
      <c r="G2" t="s">
        <v>60</v>
      </c>
      <c r="H2">
        <v>18.13</v>
      </c>
      <c r="I2">
        <v>-6.0749999999999984</v>
      </c>
      <c r="J2" t="s">
        <v>86</v>
      </c>
      <c r="K2">
        <v>-53.281853281853273</v>
      </c>
      <c r="L2">
        <v>-13.73414230557087</v>
      </c>
      <c r="M2">
        <v>-33.507997793712072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20</v>
      </c>
      <c r="B2" t="s">
        <v>49</v>
      </c>
      <c r="C2">
        <v>5</v>
      </c>
      <c r="D2">
        <v>-22.35</v>
      </c>
      <c r="E2">
        <v>-13.45</v>
      </c>
      <c r="F2">
        <v>0</v>
      </c>
      <c r="G2" t="s">
        <v>60</v>
      </c>
      <c r="H2">
        <v>37.5</v>
      </c>
      <c r="I2">
        <v>-17.899999999999999</v>
      </c>
      <c r="J2" t="s">
        <v>87</v>
      </c>
      <c r="K2">
        <v>-59.600000000000009</v>
      </c>
      <c r="L2">
        <v>-35.866666666666667</v>
      </c>
      <c r="M2">
        <v>-47.733333333333327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</v>
      </c>
      <c r="B2" t="s">
        <v>28</v>
      </c>
      <c r="C2">
        <v>5</v>
      </c>
      <c r="D2">
        <v>-11.22</v>
      </c>
      <c r="E2">
        <v>-5.1499999999999986</v>
      </c>
      <c r="F2">
        <v>0</v>
      </c>
      <c r="G2" t="s">
        <v>60</v>
      </c>
      <c r="H2">
        <v>24.4</v>
      </c>
      <c r="I2">
        <v>-8.1849999999999987</v>
      </c>
      <c r="J2" t="s">
        <v>66</v>
      </c>
      <c r="K2">
        <v>-45.983606557377037</v>
      </c>
      <c r="L2">
        <v>-21.106557377049171</v>
      </c>
      <c r="M2">
        <v>-33.545081967213108</v>
      </c>
    </row>
    <row r="3" spans="1:13" x14ac:dyDescent="0.25">
      <c r="A3" t="s">
        <v>14</v>
      </c>
      <c r="B3" t="s">
        <v>29</v>
      </c>
      <c r="C3">
        <v>4</v>
      </c>
      <c r="D3">
        <v>-11</v>
      </c>
      <c r="E3">
        <v>-3.8099999999999992</v>
      </c>
      <c r="F3">
        <v>0</v>
      </c>
      <c r="G3" t="s">
        <v>60</v>
      </c>
      <c r="H3">
        <v>22.65</v>
      </c>
      <c r="I3">
        <v>-7.4049999999999976</v>
      </c>
      <c r="J3" t="s">
        <v>67</v>
      </c>
      <c r="K3">
        <v>-48.565121412803528</v>
      </c>
      <c r="L3">
        <v>-16.82119205298013</v>
      </c>
      <c r="M3">
        <v>-32.693156732891829</v>
      </c>
    </row>
    <row r="4" spans="1:13" x14ac:dyDescent="0.25">
      <c r="A4" t="s">
        <v>14</v>
      </c>
      <c r="B4" t="s">
        <v>30</v>
      </c>
      <c r="C4">
        <v>5</v>
      </c>
      <c r="D4">
        <v>-13.43</v>
      </c>
      <c r="E4">
        <v>-5.9400000000000013</v>
      </c>
      <c r="F4">
        <v>0</v>
      </c>
      <c r="G4" t="s">
        <v>60</v>
      </c>
      <c r="H4">
        <v>26.59</v>
      </c>
      <c r="I4">
        <v>-9.6850000000000005</v>
      </c>
      <c r="J4" t="s">
        <v>68</v>
      </c>
      <c r="K4">
        <v>-50.507709665287713</v>
      </c>
      <c r="L4">
        <v>-22.339225272658901</v>
      </c>
      <c r="M4">
        <v>-36.423467468973293</v>
      </c>
    </row>
    <row r="5" spans="1:13" x14ac:dyDescent="0.25">
      <c r="A5" t="s">
        <v>14</v>
      </c>
      <c r="B5" t="s">
        <v>31</v>
      </c>
      <c r="C5">
        <v>4</v>
      </c>
      <c r="D5">
        <v>-8.6999999999999993</v>
      </c>
      <c r="E5">
        <v>0.14999999999999861</v>
      </c>
      <c r="F5">
        <v>1</v>
      </c>
      <c r="G5" t="s">
        <v>60</v>
      </c>
      <c r="H5">
        <v>25.07</v>
      </c>
      <c r="I5">
        <v>-4.2750000000000004</v>
      </c>
      <c r="J5" t="s">
        <v>69</v>
      </c>
      <c r="K5">
        <v>-34.702832070203428</v>
      </c>
      <c r="L5">
        <v>0.59832469086558149</v>
      </c>
      <c r="M5">
        <v>-17.05225368966892</v>
      </c>
    </row>
    <row r="6" spans="1:13" x14ac:dyDescent="0.25">
      <c r="A6" t="s">
        <v>14</v>
      </c>
      <c r="B6" t="s">
        <v>32</v>
      </c>
      <c r="C6">
        <v>4</v>
      </c>
      <c r="D6">
        <v>-9.36</v>
      </c>
      <c r="E6">
        <v>-0.94999999999999929</v>
      </c>
      <c r="F6">
        <v>0</v>
      </c>
      <c r="G6" t="s">
        <v>60</v>
      </c>
      <c r="H6">
        <v>25.73</v>
      </c>
      <c r="I6">
        <v>-5.1549999999999994</v>
      </c>
      <c r="J6" t="s">
        <v>70</v>
      </c>
      <c r="K6">
        <v>-36.377769141080449</v>
      </c>
      <c r="L6">
        <v>-3.6921881072677798</v>
      </c>
      <c r="M6">
        <v>-20.034978624174109</v>
      </c>
    </row>
    <row r="7" spans="1:13" x14ac:dyDescent="0.25">
      <c r="A7" t="s">
        <v>14</v>
      </c>
      <c r="B7" t="s">
        <v>33</v>
      </c>
      <c r="C7">
        <v>4</v>
      </c>
      <c r="D7">
        <v>-8.64</v>
      </c>
      <c r="E7">
        <v>-0.2300000000000004</v>
      </c>
      <c r="F7">
        <v>0</v>
      </c>
      <c r="G7" t="s">
        <v>60</v>
      </c>
      <c r="H7">
        <v>25.01</v>
      </c>
      <c r="I7">
        <v>-4.4349999999999996</v>
      </c>
      <c r="J7" t="s">
        <v>71</v>
      </c>
      <c r="K7">
        <v>-34.546181527389038</v>
      </c>
      <c r="L7">
        <v>-0.91963214714114727</v>
      </c>
      <c r="M7">
        <v>-17.73290683726508</v>
      </c>
    </row>
    <row r="8" spans="1:13" x14ac:dyDescent="0.25">
      <c r="A8" t="s">
        <v>14</v>
      </c>
      <c r="B8" t="s">
        <v>34</v>
      </c>
      <c r="C8">
        <v>5</v>
      </c>
      <c r="D8">
        <v>-4.6199999999999992</v>
      </c>
      <c r="E8">
        <v>0.51999999999999957</v>
      </c>
      <c r="F8">
        <v>1</v>
      </c>
      <c r="G8" t="s">
        <v>60</v>
      </c>
      <c r="H8">
        <v>19.63</v>
      </c>
      <c r="I8">
        <v>-2.0499999999999998</v>
      </c>
      <c r="J8" t="s">
        <v>72</v>
      </c>
      <c r="K8">
        <v>-23.535404992358629</v>
      </c>
      <c r="L8">
        <v>2.6490066225165481</v>
      </c>
      <c r="M8">
        <v>-10.443199184921051</v>
      </c>
    </row>
    <row r="9" spans="1:13" x14ac:dyDescent="0.25">
      <c r="A9" t="s">
        <v>14</v>
      </c>
      <c r="B9" t="s">
        <v>35</v>
      </c>
      <c r="C9">
        <v>4</v>
      </c>
      <c r="D9">
        <v>-8.2099999999999973</v>
      </c>
      <c r="E9">
        <v>-3.029999999999998</v>
      </c>
      <c r="F9">
        <v>0</v>
      </c>
      <c r="G9" t="s">
        <v>60</v>
      </c>
      <c r="H9">
        <v>24.58</v>
      </c>
      <c r="I9">
        <v>-5.6199999999999974</v>
      </c>
      <c r="J9" t="s">
        <v>73</v>
      </c>
      <c r="K9">
        <v>-33.401139137510157</v>
      </c>
      <c r="L9">
        <v>-12.32709519934906</v>
      </c>
      <c r="M9">
        <v>-22.864117168429608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ille xmlns="4569bd43-0f32-4680-a63c-460c6369cbae" xsi:nil="true"/>
    <lcf76f155ced4ddcb4097134ff3c332f xmlns="4569bd43-0f32-4680-a63c-460c6369cbae">
      <Terms xmlns="http://schemas.microsoft.com/office/infopath/2007/PartnerControls"/>
    </lcf76f155ced4ddcb4097134ff3c332f>
    <TaxCatchAll xmlns="5b000e40-ff54-4886-b4b0-a133a1fbff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1DCEE2242DF45934509D33F95F534" ma:contentTypeVersion="20" ma:contentTypeDescription="Crée un document." ma:contentTypeScope="" ma:versionID="672309c7f324f30f202aefa5bf957082">
  <xsd:schema xmlns:xsd="http://www.w3.org/2001/XMLSchema" xmlns:xs="http://www.w3.org/2001/XMLSchema" xmlns:p="http://schemas.microsoft.com/office/2006/metadata/properties" xmlns:ns2="4569bd43-0f32-4680-a63c-460c6369cbae" xmlns:ns3="5b000e40-ff54-4886-b4b0-a133a1fbff97" targetNamespace="http://schemas.microsoft.com/office/2006/metadata/properties" ma:root="true" ma:fieldsID="b83aab7067b324abd5d5a0648b78635c" ns2:_="" ns3:_="">
    <xsd:import namespace="4569bd43-0f32-4680-a63c-460c6369cbae"/>
    <xsd:import namespace="5b000e40-ff54-4886-b4b0-a133a1fbf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aill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9bd43-0f32-4680-a63c-460c6369c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aille" ma:index="20" nillable="true" ma:displayName="Taille" ma:internalName="Taille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e2bfe0bc-18db-4196-9ac7-09b17d5ce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00e40-ff54-4886-b4b0-a133a1fbff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7a3c3a-d56a-4e91-a460-5890761e399a}" ma:internalName="TaxCatchAll" ma:showField="CatchAllData" ma:web="5b000e40-ff54-4886-b4b0-a133a1fbf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993C3F-B0A0-4AB4-A817-1C8EEEF6D59A}">
  <ds:schemaRefs>
    <ds:schemaRef ds:uri="http://schemas.microsoft.com/office/2006/metadata/properties"/>
    <ds:schemaRef ds:uri="http://schemas.microsoft.com/office/infopath/2007/PartnerControls"/>
    <ds:schemaRef ds:uri="4569bd43-0f32-4680-a63c-460c6369cbae"/>
    <ds:schemaRef ds:uri="5b000e40-ff54-4886-b4b0-a133a1fbff97"/>
  </ds:schemaRefs>
</ds:datastoreItem>
</file>

<file path=customXml/itemProps2.xml><?xml version="1.0" encoding="utf-8"?>
<ds:datastoreItem xmlns:ds="http://schemas.openxmlformats.org/officeDocument/2006/customXml" ds:itemID="{2DE6D131-2789-4150-8C08-8A3C223A8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E0428-E32F-443B-A030-92688DA0A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Synthèse complète</vt:lpstr>
      <vt:lpstr>France</vt:lpstr>
      <vt:lpstr>India</vt:lpstr>
      <vt:lpstr>Italy</vt:lpstr>
      <vt:lpstr>Japan</vt:lpstr>
      <vt:lpstr>Luxembourg</vt:lpstr>
      <vt:lpstr>Netherland</vt:lpstr>
      <vt:lpstr>Portugal</vt:lpstr>
      <vt:lpstr>Sweden</vt:lpstr>
      <vt:lpstr>Taiwan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 SALICIS</cp:lastModifiedBy>
  <dcterms:created xsi:type="dcterms:W3CDTF">2025-07-24T14:02:35Z</dcterms:created>
  <dcterms:modified xsi:type="dcterms:W3CDTF">2025-07-24T14:21:54Z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0x010100F9F1DCEE2242DF45934509D33F95F534</vt:lpwstr>
  </property>
</Properties>
</file>